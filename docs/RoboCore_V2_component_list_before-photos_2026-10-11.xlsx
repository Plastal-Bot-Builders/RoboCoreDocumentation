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onent list" sheetId="1" state="visible" r:id="rId1"/>
    <sheet name="Printed parts" sheetId="2" state="visible" r:id="rId2"/>
    <sheet name="Notes" sheetId="3" state="visible" r:id="rId3"/>
  </sheets>
  <definedNames>
    <definedName name="_xlnm._FilterDatabase" localSheetId="0" hidden="1">'Component list'!$A$7:$Q$51</definedName>
    <definedName name="_xlnm.Print_Titles" localSheetId="0">'Component list'!$7:$7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#,##0;-#,##0;&quot;-&quot;"/>
    <numFmt numFmtId="166" formatCode="$#,##0.00;($#,##0.00);&quot;-&quot;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i val="1"/>
      <color rgb="00555555"/>
      <sz val="10"/>
    </font>
    <font>
      <name val="Arial"/>
      <color rgb="00008000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2"/>
    </font>
    <font>
      <name val="Arial"/>
      <b val="1"/>
      <color rgb="000000FF"/>
      <sz val="10"/>
    </font>
  </fonts>
  <fills count="6">
    <fill>
      <patternFill/>
    </fill>
    <fill>
      <patternFill patternType="gray125"/>
    </fill>
    <fill>
      <patternFill patternType="solid">
        <fgColor rgb="00FFF2B3"/>
      </patternFill>
    </fill>
    <fill>
      <patternFill patternType="solid">
        <fgColor rgb="001F2A44"/>
      </patternFill>
    </fill>
    <fill>
      <patternFill patternType="solid">
        <fgColor rgb="00E4E8F0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8CCD4"/>
      </left>
      <right style="thin">
        <color rgb="00C8CCD4"/>
      </right>
      <top style="thin">
        <color rgb="00C8CCD4"/>
      </top>
      <bottom style="thin">
        <color rgb="00C8CCD4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9" fillId="2" borderId="1" pivotButton="0" quotePrefix="0" xfId="0"/>
    <xf numFmtId="9" fontId="9" fillId="2" borderId="1" pivotButton="0" quotePrefix="0" xfId="0"/>
    <xf numFmtId="0" fontId="6" fillId="3" borderId="1" applyAlignment="1" pivotButton="0" quotePrefix="0" xfId="0">
      <alignment vertical="center" wrapText="1"/>
    </xf>
    <xf numFmtId="0" fontId="5" fillId="4" borderId="1" pivotButton="0" quotePrefix="0" xfId="0"/>
    <xf numFmtId="0" fontId="0" fillId="4" borderId="1" pivotButton="0" quotePrefix="0" xfId="0"/>
    <xf numFmtId="0" fontId="7" fillId="0" borderId="1" applyAlignment="1" pivotButton="0" quotePrefix="0" xfId="0">
      <alignment vertical="top"/>
    </xf>
    <xf numFmtId="0" fontId="7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/>
    </xf>
    <xf numFmtId="165" fontId="7" fillId="0" borderId="1" applyAlignment="1" pivotButton="0" quotePrefix="0" xfId="0">
      <alignment vertical="top"/>
    </xf>
    <xf numFmtId="166" fontId="4" fillId="0" borderId="1" applyAlignment="1" pivotButton="0" quotePrefix="0" xfId="0">
      <alignment vertical="top"/>
    </xf>
    <xf numFmtId="166" fontId="7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166" fontId="7" fillId="5" borderId="1" applyAlignment="1" pivotButton="0" quotePrefix="0" xfId="0">
      <alignment vertical="top"/>
    </xf>
    <xf numFmtId="165" fontId="3" fillId="0" borderId="1" applyAlignment="1" pivotButton="0" quotePrefix="0" xfId="0">
      <alignment vertical="top"/>
    </xf>
    <xf numFmtId="0" fontId="8" fillId="0" borderId="0" pivotButton="0" quotePrefix="0" xfId="0"/>
    <xf numFmtId="166" fontId="5" fillId="0" borderId="1" pivotButton="0" quotePrefix="0" xfId="0"/>
    <xf numFmtId="0" fontId="7" fillId="0" borderId="0" pivotButton="0" quotePrefix="0" xfId="0"/>
    <xf numFmtId="166" fontId="7" fillId="0" borderId="1" pivotButton="0" quotePrefix="0" xfId="0"/>
    <xf numFmtId="166" fontId="5" fillId="2" borderId="1" pivotButton="0" quotePrefix="0" xfId="0"/>
    <xf numFmtId="165" fontId="7" fillId="0" borderId="1" pivotButton="0" quotePrefix="0" xfId="0"/>
    <xf numFmtId="0" fontId="3" fillId="0" borderId="0" pivotButton="0" quotePrefix="0" xfId="0"/>
    <xf numFmtId="9" fontId="4" fillId="2" borderId="0" pivotButton="0" quotePrefix="0" xfId="0"/>
    <xf numFmtId="164" fontId="4" fillId="0" borderId="1" applyAlignment="1" pivotButton="0" quotePrefix="0" xfId="0">
      <alignment vertical="top"/>
    </xf>
    <xf numFmtId="164" fontId="7" fillId="0" borderId="1" applyAlignment="1" pivotButton="0" quotePrefix="0" xfId="0">
      <alignment vertical="top"/>
    </xf>
    <xf numFmtId="164" fontId="5" fillId="0" borderId="0" pivotButton="0" quotePrefix="0" xfId="0"/>
    <xf numFmtId="0" fontId="6" fillId="3" borderId="1" pivotButton="0" quotePrefix="0" xfId="0"/>
    <xf numFmtId="0" fontId="7" fillId="0" borderId="1" pivotButton="0" quotePrefix="0" xfId="0"/>
    <xf numFmtId="1" fontId="7" fillId="0" borderId="1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Claude</author>
  </authors>
  <commentList>
    <comment ref="C5" authorId="0" shapeId="0">
      <text>
        <t>Assumption: Zambian import VAT 16 %. Duty is 0–15 % depending on the HS code (see RoboCore_V2_costing.md); raise this if your clearing agent says duty applies.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C4" authorId="0" shapeId="0">
      <text>
        <t>Assumption: 15 % extra filament for brims, purge and the odd failed print.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72"/>
  <sheetViews>
    <sheetView zoomScale="11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38" customWidth="1" min="3" max="3"/>
    <col width="9" customWidth="1" min="4" max="4"/>
    <col width="7" customWidth="1" min="5" max="5"/>
    <col width="9" customWidth="1" min="6" max="6"/>
    <col width="10" customWidth="1" min="7" max="7"/>
    <col width="9" customWidth="1" min="8" max="8"/>
    <col width="8" customWidth="1" min="9" max="9"/>
    <col width="8" customWidth="1" min="10" max="10"/>
    <col width="11" customWidth="1" min="11" max="11"/>
    <col width="11" customWidth="1" min="12" max="12"/>
    <col width="20" customWidth="1" min="13" max="13"/>
    <col width="8" customWidth="1" min="14" max="14"/>
    <col width="11" customWidth="1" min="15" max="15"/>
    <col width="12" customWidth="1" min="16" max="16"/>
    <col width="60" customWidth="1" min="17" max="17"/>
  </cols>
  <sheetData>
    <row r="1">
      <c r="A1" s="1" t="inlineStr">
        <is>
          <t>RoboCore V2 robot: component list</t>
        </is>
      </c>
    </row>
    <row r="2">
      <c r="A2" s="2" t="inlineStr">
        <is>
          <t>Everything needed to build the robots with the arm, as of 2026-10-11. Prices are estimates in USD. Blue text = input you can change; yellow = fill in when you buy; green = from the Printed parts sheet.</t>
        </is>
      </c>
    </row>
    <row r="3"/>
    <row r="4">
      <c r="B4" s="3" t="inlineStr">
        <is>
          <t>Robots to build</t>
        </is>
      </c>
      <c r="C4" s="4" t="n">
        <v>2</v>
      </c>
    </row>
    <row r="5">
      <c r="B5" s="3" t="inlineStr">
        <is>
          <t>Import VAT + duty allowance</t>
        </is>
      </c>
      <c r="C5" s="5" t="n">
        <v>0.16</v>
      </c>
    </row>
    <row r="6"/>
    <row r="7" ht="42" customHeight="1">
      <c r="A7" s="6" t="inlineStr">
        <is>
          <t>#</t>
        </is>
      </c>
      <c r="B7" s="6" t="inlineStr">
        <is>
          <t>Part</t>
        </is>
      </c>
      <c r="C7" s="6" t="inlineStr">
        <is>
          <t>What to buy / search for</t>
        </is>
      </c>
      <c r="D7" s="6" t="inlineStr">
        <is>
          <t>Per robot</t>
        </is>
      </c>
      <c r="E7" s="6" t="inlineStr">
        <is>
          <t>Unit</t>
        </is>
      </c>
      <c r="F7" s="6" t="inlineStr">
        <is>
          <t>For all robots</t>
        </is>
      </c>
      <c r="G7" s="6" t="inlineStr">
        <is>
          <t>Extra (spares / one-off)</t>
        </is>
      </c>
      <c r="H7" s="6" t="inlineStr">
        <is>
          <t>Total needed</t>
        </is>
      </c>
      <c r="I7" s="6" t="inlineStr">
        <is>
          <t>Pack size</t>
        </is>
      </c>
      <c r="J7" s="6" t="inlineStr">
        <is>
          <t>Packs to buy</t>
        </is>
      </c>
      <c r="K7" s="6" t="inlineStr">
        <is>
          <t>Est. price per pack (USD)</t>
        </is>
      </c>
      <c r="L7" s="6" t="inlineStr">
        <is>
          <t>Est. cost (USD)</t>
        </is>
      </c>
      <c r="M7" s="6" t="inlineStr">
        <is>
          <t>Where to buy</t>
        </is>
      </c>
      <c r="N7" s="6" t="inlineStr">
        <is>
          <t>Origin</t>
        </is>
      </c>
      <c r="O7" s="6" t="inlineStr">
        <is>
          <t>Actual paid (USD)</t>
        </is>
      </c>
      <c r="P7" s="6" t="inlineStr">
        <is>
          <t>Status</t>
        </is>
      </c>
      <c r="Q7" s="6" t="inlineStr">
        <is>
          <t>Check before buying / notes</t>
        </is>
      </c>
    </row>
    <row r="8">
      <c r="A8" s="7" t="inlineStr">
        <is>
          <t>Controller board (on order at PCBWay)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</row>
    <row r="9">
      <c r="A9" s="9" t="n">
        <v>1</v>
      </c>
      <c r="B9" s="10" t="inlineStr">
        <is>
          <t>RoboCore V2 controller, assembled</t>
        </is>
      </c>
      <c r="C9" s="10" t="inlineStr">
        <is>
          <t>PCBWay PCB W836287AS1F11 + assembly T-1F12W836287A: 2 assembled boards (+3 bare PCBs)</t>
        </is>
      </c>
      <c r="D9" s="11" t="n">
        <v>1</v>
      </c>
      <c r="E9" s="9" t="inlineStr">
        <is>
          <t>pcs</t>
        </is>
      </c>
      <c r="F9" s="12">
        <f>D9*$C$4</f>
        <v/>
      </c>
      <c r="G9" s="11" t="n">
        <v>0</v>
      </c>
      <c r="H9" s="12">
        <f>F9+G9</f>
        <v/>
      </c>
      <c r="I9" s="11" t="n">
        <v>2</v>
      </c>
      <c r="J9" s="12">
        <f>IF(H9=0,0,ROUNDUP(H9/I9,0))</f>
        <v/>
      </c>
      <c r="K9" s="13" t="n">
        <v>294.71</v>
      </c>
      <c r="L9" s="14">
        <f>IF(P9="Have already",0,J9*K9)</f>
        <v/>
      </c>
      <c r="M9" s="10" t="inlineStr">
        <is>
          <t>PCBWay (quoted)</t>
        </is>
      </c>
      <c r="N9" s="15" t="inlineStr">
        <is>
          <t>Import</t>
        </is>
      </c>
      <c r="O9" s="16" t="n"/>
      <c r="P9" s="15" t="inlineStr">
        <is>
          <t>Quoted</t>
        </is>
      </c>
      <c r="Q9" s="10" t="inlineStr">
        <is>
          <t>Quoted, not paid (awaiting audit): $57.43 PCB + $88 assembly + $144.40 parts + $34.88 FedEx − $30 coupon. Price is for the whole order of 2.</t>
        </is>
      </c>
    </row>
    <row r="10">
      <c r="A10" s="7" t="inlineStr">
        <is>
          <t>Motors, sensors and servos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</row>
    <row r="11">
      <c r="A11" s="9" t="n">
        <v>2</v>
      </c>
      <c r="B11" s="10" t="inlineStr">
        <is>
          <t>Motor pair with encoders (XRP motor)</t>
        </is>
      </c>
      <c r="C11" s="10" t="inlineStr">
        <is>
          <t>SparkFun ROB-24053: 2 motors, 1:48 gearbox, 585 counts per wheel turn, two 6-pin cables included</t>
        </is>
      </c>
      <c r="D11" s="11" t="n">
        <v>1</v>
      </c>
      <c r="E11" s="9" t="inlineStr">
        <is>
          <t>pair</t>
        </is>
      </c>
      <c r="F11" s="12">
        <f>D11*$C$4</f>
        <v/>
      </c>
      <c r="G11" s="11" t="n">
        <v>0</v>
      </c>
      <c r="H11" s="12">
        <f>F11+G11</f>
        <v/>
      </c>
      <c r="I11" s="11" t="n">
        <v>1</v>
      </c>
      <c r="J11" s="12">
        <f>IF(H11=0,0,ROUNDUP(H11/I11,0))</f>
        <v/>
      </c>
      <c r="K11" s="13" t="n">
        <v>28.5</v>
      </c>
      <c r="L11" s="14">
        <f>IF(P11="Have already",0,J11*K11)</f>
        <v/>
      </c>
      <c r="M11" s="10" t="inlineStr">
        <is>
          <t>SparkFun (or a regional XRP reseller)</t>
        </is>
      </c>
      <c r="N11" s="15" t="inlineStr">
        <is>
          <t>Import</t>
        </is>
      </c>
      <c r="O11" s="16" t="n"/>
      <c r="P11" s="15" t="inlineStr">
        <is>
          <t>To buy</t>
        </is>
      </c>
      <c r="Q11" s="10" t="inlineStr">
        <is>
          <t>The chassis motor pockets and encoder cover are built around this motor; a generic TT encoder motor won't fit. SparkFun showed 'Backorder' on 2026-10-11: check stock first. Wheels are printed.</t>
        </is>
      </c>
    </row>
    <row r="12">
      <c r="A12" s="9" t="n">
        <v>3</v>
      </c>
      <c r="B12" s="10" t="inlineStr">
        <is>
          <t>Ultrasonic sensor, 3.3 V type</t>
        </is>
      </c>
      <c r="C12" s="10" t="inlineStr">
        <is>
          <t>Search: 'HC-SR04P' (3–5.5 V) or 'RCWL-1601'. 45 × 20 mm, Ø16 mm cans 26 mm apart</t>
        </is>
      </c>
      <c r="D12" s="11" t="n">
        <v>1</v>
      </c>
      <c r="E12" s="9" t="inlineStr">
        <is>
          <t>pcs</t>
        </is>
      </c>
      <c r="F12" s="12">
        <f>D12*$C$4</f>
        <v/>
      </c>
      <c r="G12" s="11" t="n">
        <v>1</v>
      </c>
      <c r="H12" s="12">
        <f>F12+G12</f>
        <v/>
      </c>
      <c r="I12" s="11" t="n">
        <v>1</v>
      </c>
      <c r="J12" s="12">
        <f>IF(H12=0,0,ROUNDUP(H12/I12,0))</f>
        <v/>
      </c>
      <c r="K12" s="13" t="n">
        <v>1.5</v>
      </c>
      <c r="L12" s="14">
        <f>IF(P12="Have already",0,J12*K12)</f>
        <v/>
      </c>
      <c r="M12" s="10" t="inlineStr">
        <is>
          <t>AliExpress</t>
        </is>
      </c>
      <c r="N12" s="15" t="inlineStr">
        <is>
          <t>Import</t>
        </is>
      </c>
      <c r="O12" s="16" t="n"/>
      <c r="P12" s="15" t="inlineStr">
        <is>
          <t>To buy</t>
        </is>
      </c>
      <c r="Q12" s="10" t="inlineStr">
        <is>
          <t>J403 supplies 3.3 V; the classic 5 V HC-SR04 is unreliable at 3.3 V. The pod is sized for the 45 × 20 mm board.</t>
        </is>
      </c>
    </row>
    <row r="13">
      <c r="A13" s="9" t="n">
        <v>4</v>
      </c>
      <c r="B13" s="10" t="inlineStr">
        <is>
          <t>Line sensor, 3-channel</t>
        </is>
      </c>
      <c r="C13" s="10" t="inlineStr">
        <is>
          <t>Search: '3 channel TCRT5000 line tracking module analog'. Pins VCC GND L C R, about 60 × 24 mm</t>
        </is>
      </c>
      <c r="D13" s="11" t="n">
        <v>1</v>
      </c>
      <c r="E13" s="9" t="inlineStr">
        <is>
          <t>pcs</t>
        </is>
      </c>
      <c r="F13" s="12">
        <f>D13*$C$4</f>
        <v/>
      </c>
      <c r="G13" s="11" t="n">
        <v>1</v>
      </c>
      <c r="H13" s="12">
        <f>F13+G13</f>
        <v/>
      </c>
      <c r="I13" s="11" t="n">
        <v>1</v>
      </c>
      <c r="J13" s="12">
        <f>IF(H13=0,0,ROUNDUP(H13/I13,0))</f>
        <v/>
      </c>
      <c r="K13" s="13" t="n">
        <v>2.5</v>
      </c>
      <c r="L13" s="14">
        <f>IF(P13="Have already",0,J13*K13)</f>
        <v/>
      </c>
      <c r="M13" s="10" t="inlineStr">
        <is>
          <t>AliExpress</t>
        </is>
      </c>
      <c r="N13" s="15" t="inlineStr">
        <is>
          <t>Import</t>
        </is>
      </c>
      <c r="O13" s="16" t="n"/>
      <c r="P13" s="15" t="inlineStr">
        <is>
          <t>To buy</t>
        </is>
      </c>
      <c r="Q13" s="10" t="inlineStr">
        <is>
          <t>Must have ANALOG outputs (J404 is wired for analog); many modules are digital-only (LM339). The sled is sized for 60 × 24 mm: buy one first and check it fits. Dupont wires, so any pin order works.</t>
        </is>
      </c>
    </row>
    <row r="14">
      <c r="A14" s="9" t="n">
        <v>5</v>
      </c>
      <c r="B14" s="10" t="inlineStr">
        <is>
          <t>Micro servo, metal gear (shoulder)</t>
        </is>
      </c>
      <c r="C14" s="10" t="inlineStr">
        <is>
          <t>MG90S, with horns and screws</t>
        </is>
      </c>
      <c r="D14" s="11" t="n">
        <v>1</v>
      </c>
      <c r="E14" s="9" t="inlineStr">
        <is>
          <t>pcs</t>
        </is>
      </c>
      <c r="F14" s="12">
        <f>D14*$C$4</f>
        <v/>
      </c>
      <c r="G14" s="11" t="n">
        <v>1</v>
      </c>
      <c r="H14" s="12">
        <f>F14+G14</f>
        <v/>
      </c>
      <c r="I14" s="11" t="n">
        <v>1</v>
      </c>
      <c r="J14" s="12">
        <f>IF(H14=0,0,ROUNDUP(H14/I14,0))</f>
        <v/>
      </c>
      <c r="K14" s="13" t="n">
        <v>3.5</v>
      </c>
      <c r="L14" s="14">
        <f>IF(P14="Have already",0,J14*K14)</f>
        <v/>
      </c>
      <c r="M14" s="10" t="inlineStr">
        <is>
          <t>AliExpress</t>
        </is>
      </c>
      <c r="N14" s="15" t="inlineStr">
        <is>
          <t>Import</t>
        </is>
      </c>
      <c r="O14" s="16" t="n"/>
      <c r="P14" s="15" t="inlineStr">
        <is>
          <t>To buy</t>
        </is>
      </c>
      <c r="Q14" s="10" t="inlineStr">
        <is>
          <t>Clone quality varies: buy from a well-reviewed store and test on arrival. Plugs straight into SERVO 1.</t>
        </is>
      </c>
    </row>
    <row r="15">
      <c r="A15" s="9" t="n">
        <v>6</v>
      </c>
      <c r="B15" s="10" t="inlineStr">
        <is>
          <t>Micro servo (gripper)</t>
        </is>
      </c>
      <c r="C15" s="10" t="inlineStr">
        <is>
          <t>SG90, with horns and screws</t>
        </is>
      </c>
      <c r="D15" s="11" t="n">
        <v>1</v>
      </c>
      <c r="E15" s="9" t="inlineStr">
        <is>
          <t>pcs</t>
        </is>
      </c>
      <c r="F15" s="12">
        <f>D15*$C$4</f>
        <v/>
      </c>
      <c r="G15" s="11" t="n">
        <v>1</v>
      </c>
      <c r="H15" s="12">
        <f>F15+G15</f>
        <v/>
      </c>
      <c r="I15" s="11" t="n">
        <v>1</v>
      </c>
      <c r="J15" s="12">
        <f>IF(H15=0,0,ROUNDUP(H15/I15,0))</f>
        <v/>
      </c>
      <c r="K15" s="13" t="n">
        <v>2.5</v>
      </c>
      <c r="L15" s="14">
        <f>IF(P15="Have already",0,J15*K15)</f>
        <v/>
      </c>
      <c r="M15" s="10" t="inlineStr">
        <is>
          <t>AliExpress</t>
        </is>
      </c>
      <c r="N15" s="15" t="inlineStr">
        <is>
          <t>Import</t>
        </is>
      </c>
      <c r="O15" s="16" t="n"/>
      <c r="P15" s="15" t="inlineStr">
        <is>
          <t>To buy</t>
        </is>
      </c>
      <c r="Q15" s="10" t="inlineStr">
        <is>
          <t>Plugs into SERVO 2.</t>
        </is>
      </c>
    </row>
    <row r="16">
      <c r="A16" s="7" t="inlineStr">
        <is>
          <t>Battery and power</t>
        </is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</row>
    <row r="17">
      <c r="A17" s="9" t="n">
        <v>7</v>
      </c>
      <c r="B17" s="10" t="inlineStr">
        <is>
          <t>18650 Li-ion cell</t>
        </is>
      </c>
      <c r="C17" s="10" t="inlineStr">
        <is>
          <t>Branded (Samsung, LG, Molicel, EVE…), about 3000 mAh, 65 mm long, all the same type</t>
        </is>
      </c>
      <c r="D17" s="11" t="n">
        <v>3</v>
      </c>
      <c r="E17" s="9" t="inlineStr">
        <is>
          <t>pcs</t>
        </is>
      </c>
      <c r="F17" s="12">
        <f>D17*$C$4</f>
        <v/>
      </c>
      <c r="G17" s="11" t="n">
        <v>0</v>
      </c>
      <c r="H17" s="12">
        <f>F17+G17</f>
        <v/>
      </c>
      <c r="I17" s="11" t="n">
        <v>1</v>
      </c>
      <c r="J17" s="12">
        <f>IF(H17=0,0,ROUNDUP(H17/I17,0))</f>
        <v/>
      </c>
      <c r="K17" s="13" t="n">
        <v>3.5</v>
      </c>
      <c r="L17" s="14">
        <f>IF(P17="Have already",0,J17*K17)</f>
        <v/>
      </c>
      <c r="M17" s="10" t="inlineStr">
        <is>
          <t>Local / South Africa</t>
        </is>
      </c>
      <c r="N17" s="15" t="inlineStr">
        <is>
          <t>Local</t>
        </is>
      </c>
      <c r="O17" s="16" t="n"/>
      <c r="P17" s="15" t="inlineStr">
        <is>
          <t>To buy</t>
        </is>
      </c>
      <c r="Q17" s="10" t="inlineStr">
        <is>
          <t>Don't ship from China: couriers refuse loose cells and fakes are common. Match the cells (same type, same voltage) before fitting. Protected cells are ~70 mm long and may not fit the holder.</t>
        </is>
      </c>
    </row>
    <row r="18">
      <c r="A18" s="9" t="n">
        <v>8</v>
      </c>
      <c r="B18" s="10" t="inlineStr">
        <is>
          <t>3 × 18650 battery holder, parallel</t>
        </is>
      </c>
      <c r="C18" s="10" t="inlineStr">
        <is>
          <t>61.6 × 78.4 mm, like the BatteryHolder3S in the model</t>
        </is>
      </c>
      <c r="D18" s="11" t="n">
        <v>1</v>
      </c>
      <c r="E18" s="9" t="inlineStr">
        <is>
          <t>pcs</t>
        </is>
      </c>
      <c r="F18" s="12">
        <f>D18*$C$4</f>
        <v/>
      </c>
      <c r="G18" s="11" t="n">
        <v>0</v>
      </c>
      <c r="H18" s="12">
        <f>F18+G18</f>
        <v/>
      </c>
      <c r="I18" s="11" t="n">
        <v>1</v>
      </c>
      <c r="J18" s="12">
        <f>IF(H18=0,0,ROUNDUP(H18/I18,0))</f>
        <v/>
      </c>
      <c r="K18" s="13" t="n">
        <v>2</v>
      </c>
      <c r="L18" s="14">
        <f>IF(P18="Have already",0,J18*K18)</f>
        <v/>
      </c>
      <c r="M18" s="10" t="inlineStr">
        <is>
          <t>AliExpress</t>
        </is>
      </c>
      <c r="N18" s="15" t="inlineStr">
        <is>
          <t>Import</t>
        </is>
      </c>
      <c r="O18" s="16" t="n"/>
      <c r="P18" s="15" t="inlineStr">
        <is>
          <t>To buy</t>
        </is>
      </c>
      <c r="Q18" s="10" t="inlineStr">
        <is>
          <t>Wire it 1S3P (all cells in parallel). A holder sold as '3S' is wired in series and must be rewired: the board takes 4.2 V maximum. The chassis V-rails are sized for 61.6 × 78.4 mm.</t>
        </is>
      </c>
    </row>
    <row r="19">
      <c r="A19" s="9" t="n">
        <v>9</v>
      </c>
      <c r="B19" s="10" t="inlineStr">
        <is>
          <t>1S Li-ion protection board (BMS)</t>
        </is>
      </c>
      <c r="C19" s="10" t="inlineStr">
        <is>
          <t>Search: '1S 3.7V 18650 protection board 5A' (DW01 type)</t>
        </is>
      </c>
      <c r="D19" s="11" t="n">
        <v>1</v>
      </c>
      <c r="E19" s="9" t="inlineStr">
        <is>
          <t>pcs</t>
        </is>
      </c>
      <c r="F19" s="12">
        <f>D19*$C$4</f>
        <v/>
      </c>
      <c r="G19" s="11" t="n">
        <v>1</v>
      </c>
      <c r="H19" s="12">
        <f>F19+G19</f>
        <v/>
      </c>
      <c r="I19" s="11" t="n">
        <v>5</v>
      </c>
      <c r="J19" s="12">
        <f>IF(H19=0,0,ROUNDUP(H19/I19,0))</f>
        <v/>
      </c>
      <c r="K19" s="13" t="n">
        <v>2</v>
      </c>
      <c r="L19" s="14">
        <f>IF(P19="Have already",0,J19*K19)</f>
        <v/>
      </c>
      <c r="M19" s="10" t="inlineStr">
        <is>
          <t>AliExpress</t>
        </is>
      </c>
      <c r="N19" s="15" t="inlineStr">
        <is>
          <t>Import</t>
        </is>
      </c>
      <c r="O19" s="16" t="n"/>
      <c r="P19" s="15" t="inlineStr">
        <is>
          <t>To buy</t>
        </is>
      </c>
      <c r="Q19" s="10" t="inlineStr">
        <is>
          <t>Recommended: the controller has no low-battery cut-off, so this stops the cells being over-drained. Goes between the holder and the XT30 lead. Pick one rated 5 A or more.</t>
        </is>
      </c>
    </row>
    <row r="20">
      <c r="A20" s="9" t="n">
        <v>10</v>
      </c>
      <c r="B20" s="10" t="inlineStr">
        <is>
          <t>XT30 battery lead, female</t>
        </is>
      </c>
      <c r="C20" s="10" t="inlineStr">
        <is>
          <t>AMASS XT30U-F with 10–15 cm of 16 AWG silicone wire</t>
        </is>
      </c>
      <c r="D20" s="11" t="n">
        <v>1</v>
      </c>
      <c r="E20" s="9" t="inlineStr">
        <is>
          <t>pcs</t>
        </is>
      </c>
      <c r="F20" s="12">
        <f>D20*$C$4</f>
        <v/>
      </c>
      <c r="G20" s="11" t="n">
        <v>1</v>
      </c>
      <c r="H20" s="12">
        <f>F20+G20</f>
        <v/>
      </c>
      <c r="I20" s="11" t="n">
        <v>5</v>
      </c>
      <c r="J20" s="12">
        <f>IF(H20=0,0,ROUNDUP(H20/I20,0))</f>
        <v/>
      </c>
      <c r="K20" s="13" t="n">
        <v>4</v>
      </c>
      <c r="L20" s="14">
        <f>IF(P20="Have already",0,J20*K20)</f>
        <v/>
      </c>
      <c r="M20" s="10" t="inlineStr">
        <is>
          <t>AliExpress (AMASS store)</t>
        </is>
      </c>
      <c r="N20" s="15" t="inlineStr">
        <is>
          <t>Import</t>
        </is>
      </c>
      <c r="O20" s="16" t="n"/>
      <c r="P20" s="15" t="inlineStr">
        <is>
          <t>To buy</t>
        </is>
      </c>
      <c r="Q20" s="10" t="inlineStr">
        <is>
          <t>The board has the male XT30 (XT30UPB-M), so the battery side needs the female plug.</t>
        </is>
      </c>
    </row>
    <row r="21">
      <c r="A21" s="9" t="n">
        <v>11</v>
      </c>
      <c r="B21" s="10" t="inlineStr">
        <is>
          <t>Heat-shrink tubing assortment</t>
        </is>
      </c>
      <c r="C21" s="10" t="inlineStr">
        <is>
          <t>For the battery wiring joints</t>
        </is>
      </c>
      <c r="D21" s="11" t="n">
        <v>0</v>
      </c>
      <c r="E21" s="9" t="inlineStr">
        <is>
          <t>set</t>
        </is>
      </c>
      <c r="F21" s="12">
        <f>D21*$C$4</f>
        <v/>
      </c>
      <c r="G21" s="11" t="n">
        <v>1</v>
      </c>
      <c r="H21" s="12">
        <f>F21+G21</f>
        <v/>
      </c>
      <c r="I21" s="11" t="n">
        <v>1</v>
      </c>
      <c r="J21" s="12">
        <f>IF(H21=0,0,ROUNDUP(H21/I21,0))</f>
        <v/>
      </c>
      <c r="K21" s="13" t="n">
        <v>2</v>
      </c>
      <c r="L21" s="14">
        <f>IF(P21="Have already",0,J21*K21)</f>
        <v/>
      </c>
      <c r="M21" s="10" t="inlineStr">
        <is>
          <t>AliExpress / local</t>
        </is>
      </c>
      <c r="N21" s="15" t="inlineStr">
        <is>
          <t>Import</t>
        </is>
      </c>
      <c r="O21" s="16" t="n"/>
      <c r="P21" s="15" t="inlineStr">
        <is>
          <t>To buy</t>
        </is>
      </c>
      <c r="Q21" s="10" t="inlineStr">
        <is>
          <t>One-off. Skip if you have some.</t>
        </is>
      </c>
    </row>
    <row r="22">
      <c r="A22" s="7" t="inlineStr">
        <is>
          <t>Cables</t>
        </is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</row>
    <row r="23">
      <c r="A23" s="9" t="n">
        <v>12</v>
      </c>
      <c r="B23" s="10" t="inlineStr">
        <is>
          <t>Dupont jumper wires, female-female, 20 cm</t>
        </is>
      </c>
      <c r="C23" s="10" t="inlineStr">
        <is>
          <t>4 for the ultrasonic (J403) + 5 for the line sensor (J404)</t>
        </is>
      </c>
      <c r="D23" s="11" t="n">
        <v>9</v>
      </c>
      <c r="E23" s="9" t="inlineStr">
        <is>
          <t>pcs</t>
        </is>
      </c>
      <c r="F23" s="12">
        <f>D23*$C$4</f>
        <v/>
      </c>
      <c r="G23" s="11" t="n">
        <v>0</v>
      </c>
      <c r="H23" s="12">
        <f>F23+G23</f>
        <v/>
      </c>
      <c r="I23" s="11" t="n">
        <v>40</v>
      </c>
      <c r="J23" s="12">
        <f>IF(H23=0,0,ROUNDUP(H23/I23,0))</f>
        <v/>
      </c>
      <c r="K23" s="13" t="n">
        <v>2</v>
      </c>
      <c r="L23" s="14">
        <f>IF(P23="Have already",0,J23*K23)</f>
        <v/>
      </c>
      <c r="M23" s="10" t="inlineStr">
        <is>
          <t>AliExpress</t>
        </is>
      </c>
      <c r="N23" s="15" t="inlineStr">
        <is>
          <t>Import</t>
        </is>
      </c>
      <c r="O23" s="16" t="n"/>
      <c r="P23" s="15" t="inlineStr">
        <is>
          <t>To buy</t>
        </is>
      </c>
      <c r="Q23" s="10" t="inlineStr">
        <is>
          <t>Usually sold as a 40-wire strip.</t>
        </is>
      </c>
    </row>
    <row r="24">
      <c r="A24" s="9" t="n">
        <v>13</v>
      </c>
      <c r="B24" s="10" t="inlineStr">
        <is>
          <t>USB-C cable (data)</t>
        </is>
      </c>
      <c r="C24" s="10" t="inlineStr">
        <is>
          <t>USB-A or USB-C to USB-C; must carry data</t>
        </is>
      </c>
      <c r="D24" s="11" t="n">
        <v>1</v>
      </c>
      <c r="E24" s="9" t="inlineStr">
        <is>
          <t>pcs</t>
        </is>
      </c>
      <c r="F24" s="12">
        <f>D24*$C$4</f>
        <v/>
      </c>
      <c r="G24" s="11" t="n">
        <v>0</v>
      </c>
      <c r="H24" s="12">
        <f>F24+G24</f>
        <v/>
      </c>
      <c r="I24" s="11" t="n">
        <v>1</v>
      </c>
      <c r="J24" s="12">
        <f>IF(H24=0,0,ROUNDUP(H24/I24,0))</f>
        <v/>
      </c>
      <c r="K24" s="13" t="n">
        <v>2</v>
      </c>
      <c r="L24" s="14">
        <f>IF(P24="Have already",0,J24*K24)</f>
        <v/>
      </c>
      <c r="M24" s="10" t="inlineStr">
        <is>
          <t>AliExpress / local</t>
        </is>
      </c>
      <c r="N24" s="15" t="inlineStr">
        <is>
          <t>Import</t>
        </is>
      </c>
      <c r="O24" s="16" t="n"/>
      <c r="P24" s="15" t="inlineStr">
        <is>
          <t>To buy</t>
        </is>
      </c>
      <c r="Q24" s="10" t="inlineStr">
        <is>
          <t>For programming and charging. Charge-only cables won't program the board.</t>
        </is>
      </c>
    </row>
    <row r="25">
      <c r="A25" s="9" t="n">
        <v>14</v>
      </c>
      <c r="B25" s="10" t="inlineStr">
        <is>
          <t>USB charger, 5 V 2 A (optional)</t>
        </is>
      </c>
      <c r="C25" s="10" t="inlineStr">
        <is>
          <t>Any phone charger with a USB-C or USB-A port</t>
        </is>
      </c>
      <c r="D25" s="11" t="n">
        <v>0</v>
      </c>
      <c r="E25" s="9" t="inlineStr">
        <is>
          <t>pcs</t>
        </is>
      </c>
      <c r="F25" s="12">
        <f>D25*$C$4</f>
        <v/>
      </c>
      <c r="G25" s="11" t="n">
        <v>0</v>
      </c>
      <c r="H25" s="12">
        <f>F25+G25</f>
        <v/>
      </c>
      <c r="I25" s="11" t="n">
        <v>1</v>
      </c>
      <c r="J25" s="12">
        <f>IF(H25=0,0,ROUNDUP(H25/I25,0))</f>
        <v/>
      </c>
      <c r="K25" s="13" t="n">
        <v>4</v>
      </c>
      <c r="L25" s="14">
        <f>IF(P25="Have already",0,J25*K25)</f>
        <v/>
      </c>
      <c r="M25" s="10" t="inlineStr">
        <is>
          <t>Local</t>
        </is>
      </c>
      <c r="N25" s="15" t="inlineStr">
        <is>
          <t>Local</t>
        </is>
      </c>
      <c r="O25" s="16" t="n"/>
      <c r="P25" s="15" t="inlineStr">
        <is>
          <t>To buy</t>
        </is>
      </c>
      <c r="Q25" s="10" t="inlineStr">
        <is>
          <t>Set 'Per robot' to 1 if the users don't have one. The board draws up to 1.65 A from USB.</t>
        </is>
      </c>
    </row>
    <row r="26">
      <c r="A26" s="7" t="inlineStr">
        <is>
          <t>Screws, inserts and small hardware (with the arm and one bus clip)</t>
        </is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</row>
    <row r="27">
      <c r="A27" s="9" t="n">
        <v>15</v>
      </c>
      <c r="B27" s="10" t="inlineStr">
        <is>
          <t>M2 heat-set insert</t>
        </is>
      </c>
      <c r="C27" s="10" t="inlineStr">
        <is>
          <t>For Ø3.2 mm holes (e.g. M2 × 3 × 3.2 OD)</t>
        </is>
      </c>
      <c r="D27" s="11" t="n">
        <v>4</v>
      </c>
      <c r="E27" s="9" t="inlineStr">
        <is>
          <t>pcs</t>
        </is>
      </c>
      <c r="F27" s="12">
        <f>D27*$C$4</f>
        <v/>
      </c>
      <c r="G27" s="11" t="n">
        <v>4</v>
      </c>
      <c r="H27" s="12">
        <f>F27+G27</f>
        <v/>
      </c>
      <c r="I27" s="11" t="n">
        <v>100</v>
      </c>
      <c r="J27" s="12">
        <f>IF(H27=0,0,ROUNDUP(H27/I27,0))</f>
        <v/>
      </c>
      <c r="K27" s="13" t="n">
        <v>2</v>
      </c>
      <c r="L27" s="14">
        <f>IF(P27="Have already",0,J27*K27)</f>
        <v/>
      </c>
      <c r="M27" s="10" t="inlineStr">
        <is>
          <t>AliExpress</t>
        </is>
      </c>
      <c r="N27" s="15" t="inlineStr">
        <is>
          <t>Import</t>
        </is>
      </c>
      <c r="O27" s="16" t="n"/>
      <c r="P27" s="15" t="inlineStr">
        <is>
          <t>To buy</t>
        </is>
      </c>
      <c r="Q27" s="10" t="inlineStr">
        <is>
          <t>Board onto the deck.</t>
        </is>
      </c>
    </row>
    <row r="28">
      <c r="A28" s="9" t="n">
        <v>16</v>
      </c>
      <c r="B28" s="10" t="inlineStr">
        <is>
          <t>M3 heat-set insert, short</t>
        </is>
      </c>
      <c r="C28" s="10" t="inlineStr">
        <is>
          <t>For Ø4.0 mm holes (e.g. M3 × 4 × 4.0 OD)</t>
        </is>
      </c>
      <c r="D28" s="11" t="n">
        <v>6</v>
      </c>
      <c r="E28" s="9" t="inlineStr">
        <is>
          <t>pcs</t>
        </is>
      </c>
      <c r="F28" s="12">
        <f>D28*$C$4</f>
        <v/>
      </c>
      <c r="G28" s="11" t="n">
        <v>4</v>
      </c>
      <c r="H28" s="12">
        <f>F28+G28</f>
        <v/>
      </c>
      <c r="I28" s="11" t="n">
        <v>100</v>
      </c>
      <c r="J28" s="12">
        <f>IF(H28=0,0,ROUNDUP(H28/I28,0))</f>
        <v/>
      </c>
      <c r="K28" s="13" t="n">
        <v>2.5</v>
      </c>
      <c r="L28" s="14">
        <f>IF(P28="Have already",0,J28*K28)</f>
        <v/>
      </c>
      <c r="M28" s="10" t="inlineStr">
        <is>
          <t>AliExpress</t>
        </is>
      </c>
      <c r="N28" s="15" t="inlineStr">
        <is>
          <t>Import</t>
        </is>
      </c>
      <c r="O28" s="16" t="n"/>
      <c r="P28" s="15" t="inlineStr">
        <is>
          <t>To buy</t>
        </is>
      </c>
      <c r="Q28" s="10" t="inlineStr">
        <is>
          <t>2 dock towers, 3 clips (bus + 2 ballast), 1 bus-clip accessory boss.</t>
        </is>
      </c>
    </row>
    <row r="29">
      <c r="A29" s="9" t="n">
        <v>17</v>
      </c>
      <c r="B29" s="10" t="inlineStr">
        <is>
          <t>M2 × 6 pan head machine screw</t>
        </is>
      </c>
      <c r="C29" s="10" t="inlineStr">
        <is>
          <t>Into the M2 inserts</t>
        </is>
      </c>
      <c r="D29" s="11" t="n">
        <v>4</v>
      </c>
      <c r="E29" s="9" t="inlineStr">
        <is>
          <t>pcs</t>
        </is>
      </c>
      <c r="F29" s="12">
        <f>D29*$C$4</f>
        <v/>
      </c>
      <c r="G29" s="11" t="n">
        <v>4</v>
      </c>
      <c r="H29" s="12">
        <f>F29+G29</f>
        <v/>
      </c>
      <c r="I29" s="11" t="n">
        <v>50</v>
      </c>
      <c r="J29" s="12">
        <f>IF(H29=0,0,ROUNDUP(H29/I29,0))</f>
        <v/>
      </c>
      <c r="K29" s="13" t="n">
        <v>1.5</v>
      </c>
      <c r="L29" s="14">
        <f>IF(P29="Have already",0,J29*K29)</f>
        <v/>
      </c>
      <c r="M29" s="10" t="inlineStr">
        <is>
          <t>AliExpress</t>
        </is>
      </c>
      <c r="N29" s="15" t="inlineStr">
        <is>
          <t>Import</t>
        </is>
      </c>
      <c r="O29" s="16" t="n"/>
      <c r="P29" s="15" t="inlineStr">
        <is>
          <t>To buy</t>
        </is>
      </c>
      <c r="Q29" s="10" t="inlineStr">
        <is>
          <t>Board onto the deck. Tip: one M2/M3 screw assortment kit covers most of this section.</t>
        </is>
      </c>
    </row>
    <row r="30">
      <c r="A30" s="9" t="n">
        <v>18</v>
      </c>
      <c r="B30" s="10" t="inlineStr">
        <is>
          <t>M2 × 6 pan head self-tapping screw</t>
        </is>
      </c>
      <c r="C30" s="10" t="inlineStr">
        <is>
          <t>Wheel onto the motor shaft</t>
        </is>
      </c>
      <c r="D30" s="11" t="n">
        <v>2</v>
      </c>
      <c r="E30" s="9" t="inlineStr">
        <is>
          <t>pcs</t>
        </is>
      </c>
      <c r="F30" s="12">
        <f>D30*$C$4</f>
        <v/>
      </c>
      <c r="G30" s="11" t="n">
        <v>2</v>
      </c>
      <c r="H30" s="12">
        <f>F30+G30</f>
        <v/>
      </c>
      <c r="I30" s="11" t="n">
        <v>50</v>
      </c>
      <c r="J30" s="12">
        <f>IF(H30=0,0,ROUNDUP(H30/I30,0))</f>
        <v/>
      </c>
      <c r="K30" s="13" t="n">
        <v>1.5</v>
      </c>
      <c r="L30" s="14">
        <f>IF(P30="Have already",0,J30*K30)</f>
        <v/>
      </c>
      <c r="M30" s="10" t="inlineStr">
        <is>
          <t>AliExpress</t>
        </is>
      </c>
      <c r="N30" s="15" t="inlineStr">
        <is>
          <t>Import</t>
        </is>
      </c>
      <c r="O30" s="16" t="n"/>
      <c r="P30" s="15" t="inlineStr">
        <is>
          <t>To buy</t>
        </is>
      </c>
      <c r="Q30" s="10" t="inlineStr">
        <is>
          <t>Into the shaft's centre hole, with a washer.</t>
        </is>
      </c>
    </row>
    <row r="31">
      <c r="A31" s="9" t="n">
        <v>19</v>
      </c>
      <c r="B31" s="10" t="inlineStr">
        <is>
          <t>M2 flat washer</t>
        </is>
      </c>
      <c r="C31" s="10" t="inlineStr"/>
      <c r="D31" s="11" t="n">
        <v>2</v>
      </c>
      <c r="E31" s="9" t="inlineStr">
        <is>
          <t>pcs</t>
        </is>
      </c>
      <c r="F31" s="12">
        <f>D31*$C$4</f>
        <v/>
      </c>
      <c r="G31" s="11" t="n">
        <v>2</v>
      </c>
      <c r="H31" s="12">
        <f>F31+G31</f>
        <v/>
      </c>
      <c r="I31" s="11" t="n">
        <v>100</v>
      </c>
      <c r="J31" s="12">
        <f>IF(H31=0,0,ROUNDUP(H31/I31,0))</f>
        <v/>
      </c>
      <c r="K31" s="13" t="n">
        <v>1</v>
      </c>
      <c r="L31" s="14">
        <f>IF(P31="Have already",0,J31*K31)</f>
        <v/>
      </c>
      <c r="M31" s="10" t="inlineStr">
        <is>
          <t>AliExpress</t>
        </is>
      </c>
      <c r="N31" s="15" t="inlineStr">
        <is>
          <t>Import</t>
        </is>
      </c>
      <c r="O31" s="16" t="n"/>
      <c r="P31" s="15" t="inlineStr">
        <is>
          <t>To buy</t>
        </is>
      </c>
      <c r="Q31" s="10" t="inlineStr">
        <is>
          <t>Under the wheel screws.</t>
        </is>
      </c>
    </row>
    <row r="32">
      <c r="A32" s="9" t="n">
        <v>20</v>
      </c>
      <c r="B32" s="10" t="inlineStr">
        <is>
          <t>M2 × 8 pan head screw</t>
        </is>
      </c>
      <c r="C32" s="10" t="inlineStr"/>
      <c r="D32" s="11" t="n">
        <v>1</v>
      </c>
      <c r="E32" s="9" t="inlineStr">
        <is>
          <t>pcs</t>
        </is>
      </c>
      <c r="F32" s="12">
        <f>D32*$C$4</f>
        <v/>
      </c>
      <c r="G32" s="11" t="n">
        <v>1</v>
      </c>
      <c r="H32" s="12">
        <f>F32+G32</f>
        <v/>
      </c>
      <c r="I32" s="11" t="n">
        <v>50</v>
      </c>
      <c r="J32" s="12">
        <f>IF(H32=0,0,ROUNDUP(H32/I32,0))</f>
        <v/>
      </c>
      <c r="K32" s="13" t="n">
        <v>1.5</v>
      </c>
      <c r="L32" s="14">
        <f>IF(P32="Have already",0,J32*K32)</f>
        <v/>
      </c>
      <c r="M32" s="10" t="inlineStr">
        <is>
          <t>AliExpress</t>
        </is>
      </c>
      <c r="N32" s="15" t="inlineStr">
        <is>
          <t>Import</t>
        </is>
      </c>
      <c r="O32" s="16" t="n"/>
      <c r="P32" s="15" t="inlineStr">
        <is>
          <t>To buy</t>
        </is>
      </c>
      <c r="Q32" s="10" t="inlineStr">
        <is>
          <t>Shoulder horn centre screw (the servo's own screw is too short).</t>
        </is>
      </c>
    </row>
    <row r="33">
      <c r="A33" s="9" t="n">
        <v>21</v>
      </c>
      <c r="B33" s="10" t="inlineStr">
        <is>
          <t>M2 × 5 pan head screw</t>
        </is>
      </c>
      <c r="C33" s="10" t="inlineStr"/>
      <c r="D33" s="11" t="n">
        <v>2</v>
      </c>
      <c r="E33" s="9" t="inlineStr">
        <is>
          <t>pcs</t>
        </is>
      </c>
      <c r="F33" s="12">
        <f>D33*$C$4</f>
        <v/>
      </c>
      <c r="G33" s="11" t="n">
        <v>2</v>
      </c>
      <c r="H33" s="12">
        <f>F33+G33</f>
        <v/>
      </c>
      <c r="I33" s="11" t="n">
        <v>50</v>
      </c>
      <c r="J33" s="12">
        <f>IF(H33=0,0,ROUNDUP(H33/I33,0))</f>
        <v/>
      </c>
      <c r="K33" s="13" t="n">
        <v>1.5</v>
      </c>
      <c r="L33" s="14">
        <f>IF(P33="Have already",0,J33*K33)</f>
        <v/>
      </c>
      <c r="M33" s="10" t="inlineStr">
        <is>
          <t>AliExpress</t>
        </is>
      </c>
      <c r="N33" s="15" t="inlineStr">
        <is>
          <t>Import</t>
        </is>
      </c>
      <c r="O33" s="16" t="n"/>
      <c r="P33" s="15" t="inlineStr">
        <is>
          <t>To buy</t>
        </is>
      </c>
      <c r="Q33" s="10" t="inlineStr">
        <is>
          <t>Shoulder horn arm to the boom plate.</t>
        </is>
      </c>
    </row>
    <row r="34">
      <c r="A34" s="9" t="n">
        <v>22</v>
      </c>
      <c r="B34" s="10" t="inlineStr">
        <is>
          <t>M2 × 4 pan head screw</t>
        </is>
      </c>
      <c r="C34" s="10" t="inlineStr"/>
      <c r="D34" s="11" t="n">
        <v>3</v>
      </c>
      <c r="E34" s="9" t="inlineStr">
        <is>
          <t>pcs</t>
        </is>
      </c>
      <c r="F34" s="12">
        <f>D34*$C$4</f>
        <v/>
      </c>
      <c r="G34" s="11" t="n">
        <v>2</v>
      </c>
      <c r="H34" s="12">
        <f>F34+G34</f>
        <v/>
      </c>
      <c r="I34" s="11" t="n">
        <v>50</v>
      </c>
      <c r="J34" s="12">
        <f>IF(H34=0,0,ROUNDUP(H34/I34,0))</f>
        <v/>
      </c>
      <c r="K34" s="13" t="n">
        <v>1.5</v>
      </c>
      <c r="L34" s="14">
        <f>IF(P34="Have already",0,J34*K34)</f>
        <v/>
      </c>
      <c r="M34" s="10" t="inlineStr">
        <is>
          <t>AliExpress</t>
        </is>
      </c>
      <c r="N34" s="15" t="inlineStr">
        <is>
          <t>Import</t>
        </is>
      </c>
      <c r="O34" s="16" t="n"/>
      <c r="P34" s="15" t="inlineStr">
        <is>
          <t>To buy</t>
        </is>
      </c>
      <c r="Q34" s="10" t="inlineStr">
        <is>
          <t>Gripper horn: centre screw + 2 into the jaw.</t>
        </is>
      </c>
    </row>
    <row r="35">
      <c r="A35" s="9" t="n">
        <v>23</v>
      </c>
      <c r="B35" s="10" t="inlineStr">
        <is>
          <t>M3 × 10 socket head screw</t>
        </is>
      </c>
      <c r="C35" s="10" t="inlineStr"/>
      <c r="D35" s="11" t="n">
        <v>2</v>
      </c>
      <c r="E35" s="9" t="inlineStr">
        <is>
          <t>pcs</t>
        </is>
      </c>
      <c r="F35" s="12">
        <f>D35*$C$4</f>
        <v/>
      </c>
      <c r="G35" s="11" t="n">
        <v>2</v>
      </c>
      <c r="H35" s="12">
        <f>F35+G35</f>
        <v/>
      </c>
      <c r="I35" s="11" t="n">
        <v>50</v>
      </c>
      <c r="J35" s="12">
        <f>IF(H35=0,0,ROUNDUP(H35/I35,0))</f>
        <v/>
      </c>
      <c r="K35" s="13" t="n">
        <v>1.5</v>
      </c>
      <c r="L35" s="14">
        <f>IF(P35="Have already",0,J35*K35)</f>
        <v/>
      </c>
      <c r="M35" s="10" t="inlineStr">
        <is>
          <t>AliExpress</t>
        </is>
      </c>
      <c r="N35" s="15" t="inlineStr">
        <is>
          <t>Import</t>
        </is>
      </c>
      <c r="O35" s="16" t="n"/>
      <c r="P35" s="15" t="inlineStr">
        <is>
          <t>To buy</t>
        </is>
      </c>
      <c r="Q35" s="10" t="inlineStr">
        <is>
          <t>Sonar bracket + arm base into the dock (M3 × 8 if no arm).</t>
        </is>
      </c>
    </row>
    <row r="36">
      <c r="A36" s="9" t="n">
        <v>24</v>
      </c>
      <c r="B36" s="10" t="inlineStr">
        <is>
          <t>M3 × 8 pan head self-tapping screw</t>
        </is>
      </c>
      <c r="C36" s="10" t="inlineStr"/>
      <c r="D36" s="11" t="n">
        <v>1</v>
      </c>
      <c r="E36" s="9" t="inlineStr">
        <is>
          <t>pcs</t>
        </is>
      </c>
      <c r="F36" s="12">
        <f>D36*$C$4</f>
        <v/>
      </c>
      <c r="G36" s="11" t="n">
        <v>1</v>
      </c>
      <c r="H36" s="12">
        <f>F36+G36</f>
        <v/>
      </c>
      <c r="I36" s="11" t="n">
        <v>50</v>
      </c>
      <c r="J36" s="12">
        <f>IF(H36=0,0,ROUNDUP(H36/I36,0))</f>
        <v/>
      </c>
      <c r="K36" s="13" t="n">
        <v>1.5</v>
      </c>
      <c r="L36" s="14">
        <f>IF(P36="Have already",0,J36*K36)</f>
        <v/>
      </c>
      <c r="M36" s="10" t="inlineStr">
        <is>
          <t>AliExpress</t>
        </is>
      </c>
      <c r="N36" s="15" t="inlineStr">
        <is>
          <t>Import</t>
        </is>
      </c>
      <c r="O36" s="16" t="n"/>
      <c r="P36" s="15" t="inlineStr">
        <is>
          <t>To buy</t>
        </is>
      </c>
      <c r="Q36" s="10" t="inlineStr">
        <is>
          <t>Idle jaw pivot.</t>
        </is>
      </c>
    </row>
    <row r="37">
      <c r="A37" s="9" t="n">
        <v>25</v>
      </c>
      <c r="B37" s="10" t="inlineStr">
        <is>
          <t>M3 × 8 thumb screw (knurled head)</t>
        </is>
      </c>
      <c r="C37" s="10" t="inlineStr"/>
      <c r="D37" s="11" t="n">
        <v>3</v>
      </c>
      <c r="E37" s="9" t="inlineStr">
        <is>
          <t>pcs</t>
        </is>
      </c>
      <c r="F37" s="12">
        <f>D37*$C$4</f>
        <v/>
      </c>
      <c r="G37" s="11" t="n">
        <v>1</v>
      </c>
      <c r="H37" s="12">
        <f>F37+G37</f>
        <v/>
      </c>
      <c r="I37" s="11" t="n">
        <v>20</v>
      </c>
      <c r="J37" s="12">
        <f>IF(H37=0,0,ROUNDUP(H37/I37,0))</f>
        <v/>
      </c>
      <c r="K37" s="13" t="n">
        <v>3</v>
      </c>
      <c r="L37" s="14">
        <f>IF(P37="Have already",0,J37*K37)</f>
        <v/>
      </c>
      <c r="M37" s="10" t="inlineStr">
        <is>
          <t>AliExpress</t>
        </is>
      </c>
      <c r="N37" s="15" t="inlineStr">
        <is>
          <t>Import</t>
        </is>
      </c>
      <c r="O37" s="16" t="n"/>
      <c r="P37" s="15" t="inlineStr">
        <is>
          <t>To buy</t>
        </is>
      </c>
      <c r="Q37" s="10" t="inlineStr">
        <is>
          <t>Bus clip + 2 ballast clips (presses on the deck).</t>
        </is>
      </c>
    </row>
    <row r="38">
      <c r="A38" s="9" t="n">
        <v>26</v>
      </c>
      <c r="B38" s="10" t="inlineStr">
        <is>
          <t>M8 hex nut</t>
        </is>
      </c>
      <c r="C38" s="10" t="inlineStr">
        <is>
          <t>Plain steel, about 5 g each</t>
        </is>
      </c>
      <c r="D38" s="11" t="n">
        <v>6</v>
      </c>
      <c r="E38" s="9" t="inlineStr">
        <is>
          <t>pcs</t>
        </is>
      </c>
      <c r="F38" s="12">
        <f>D38*$C$4</f>
        <v/>
      </c>
      <c r="G38" s="11" t="n">
        <v>0</v>
      </c>
      <c r="H38" s="12">
        <f>F38+G38</f>
        <v/>
      </c>
      <c r="I38" s="11" t="n">
        <v>1</v>
      </c>
      <c r="J38" s="12">
        <f>IF(H38=0,0,ROUNDUP(H38/I38,0))</f>
        <v/>
      </c>
      <c r="K38" s="13" t="n">
        <v>0.1</v>
      </c>
      <c r="L38" s="14">
        <f>IF(P38="Have already",0,J38*K38)</f>
        <v/>
      </c>
      <c r="M38" s="10" t="inlineStr">
        <is>
          <t>Local hardware shop</t>
        </is>
      </c>
      <c r="N38" s="15" t="inlineStr">
        <is>
          <t>Local</t>
        </is>
      </c>
      <c r="O38" s="16" t="n"/>
      <c r="P38" s="15" t="inlineStr">
        <is>
          <t>To buy</t>
        </is>
      </c>
      <c r="Q38" s="10" t="inlineStr">
        <is>
          <t>Ballast: 3 in each ballast clip. Needed when the arm is fitted.</t>
        </is>
      </c>
    </row>
    <row r="39">
      <c r="A39" s="9" t="n">
        <v>27</v>
      </c>
      <c r="B39" s="10" t="inlineStr">
        <is>
          <t>½" (12.7 mm) steel ball</t>
        </is>
      </c>
      <c r="C39" s="10" t="inlineStr">
        <is>
          <t>Bearing balls or slingshot ammo; 12.7 mm glass marbles also work</t>
        </is>
      </c>
      <c r="D39" s="11" t="n">
        <v>2</v>
      </c>
      <c r="E39" s="9" t="inlineStr">
        <is>
          <t>pcs</t>
        </is>
      </c>
      <c r="F39" s="12">
        <f>D39*$C$4</f>
        <v/>
      </c>
      <c r="G39" s="11" t="n">
        <v>2</v>
      </c>
      <c r="H39" s="12">
        <f>F39+G39</f>
        <v/>
      </c>
      <c r="I39" s="11" t="n">
        <v>20</v>
      </c>
      <c r="J39" s="12">
        <f>IF(H39=0,0,ROUNDUP(H39/I39,0))</f>
        <v/>
      </c>
      <c r="K39" s="13" t="n">
        <v>3</v>
      </c>
      <c r="L39" s="14">
        <f>IF(P39="Have already",0,J39*K39)</f>
        <v/>
      </c>
      <c r="M39" s="10" t="inlineStr">
        <is>
          <t>AliExpress / local bearing shop</t>
        </is>
      </c>
      <c r="N39" s="15" t="inlineStr">
        <is>
          <t>Import</t>
        </is>
      </c>
      <c r="O39" s="16" t="n"/>
      <c r="P39" s="15" t="inlineStr">
        <is>
          <t>To buy</t>
        </is>
      </c>
      <c r="Q39" s="10" t="inlineStr">
        <is>
          <t>Rear casters, press-fit.</t>
        </is>
      </c>
    </row>
    <row r="40">
      <c r="A40" s="7" t="inlineStr">
        <is>
          <t>3D printing filament (grams, from the Printed parts sheet)</t>
        </is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</row>
    <row r="41">
      <c r="A41" s="9" t="n">
        <v>28</v>
      </c>
      <c r="B41" s="10" t="inlineStr">
        <is>
          <t>PETG filament, yellow</t>
        </is>
      </c>
      <c r="C41" s="10" t="inlineStr">
        <is>
          <t>1 kg spool</t>
        </is>
      </c>
      <c r="D41" s="17">
        <f>'Printed parts'!C24</f>
        <v/>
      </c>
      <c r="E41" s="9" t="inlineStr">
        <is>
          <t>g</t>
        </is>
      </c>
      <c r="F41" s="12">
        <f>D41*$C$4</f>
        <v/>
      </c>
      <c r="G41" s="17">
        <f>'Printed parts'!D24</f>
        <v/>
      </c>
      <c r="H41" s="12">
        <f>F41+G41</f>
        <v/>
      </c>
      <c r="I41" s="11" t="n">
        <v>1000</v>
      </c>
      <c r="J41" s="12">
        <f>IF(H41=0,0,ROUNDUP(H41/I41,0))</f>
        <v/>
      </c>
      <c r="K41" s="13" t="n">
        <v>20</v>
      </c>
      <c r="L41" s="14">
        <f>IF(P41="Have already",0,J41*K41)</f>
        <v/>
      </c>
      <c r="M41" s="10" t="inlineStr">
        <is>
          <t>Local / Bambu store</t>
        </is>
      </c>
      <c r="N41" s="15" t="inlineStr">
        <is>
          <t>Local</t>
        </is>
      </c>
      <c r="O41" s="16" t="n"/>
      <c r="P41" s="15" t="inlineStr">
        <is>
          <t>To buy</t>
        </is>
      </c>
      <c r="Q41" s="10" t="inlineStr">
        <is>
          <t>Chassis, sonar pod, arm and arm base.</t>
        </is>
      </c>
    </row>
    <row r="42">
      <c r="A42" s="9" t="n">
        <v>29</v>
      </c>
      <c r="B42" s="10" t="inlineStr">
        <is>
          <t>PETG filament, black</t>
        </is>
      </c>
      <c r="C42" s="10" t="inlineStr">
        <is>
          <t>1 kg spool</t>
        </is>
      </c>
      <c r="D42" s="17">
        <f>'Printed parts'!C25</f>
        <v/>
      </c>
      <c r="E42" s="9" t="inlineStr">
        <is>
          <t>g</t>
        </is>
      </c>
      <c r="F42" s="12">
        <f>D42*$C$4</f>
        <v/>
      </c>
      <c r="G42" s="17">
        <f>'Printed parts'!D25</f>
        <v/>
      </c>
      <c r="H42" s="12">
        <f>F42+G42</f>
        <v/>
      </c>
      <c r="I42" s="11" t="n">
        <v>1000</v>
      </c>
      <c r="J42" s="12">
        <f>IF(H42=0,0,ROUNDUP(H42/I42,0))</f>
        <v/>
      </c>
      <c r="K42" s="13" t="n">
        <v>20</v>
      </c>
      <c r="L42" s="14">
        <f>IF(P42="Have already",0,J42*K42)</f>
        <v/>
      </c>
      <c r="M42" s="10" t="inlineStr">
        <is>
          <t>Local / Bambu store</t>
        </is>
      </c>
      <c r="N42" s="15" t="inlineStr">
        <is>
          <t>Local</t>
        </is>
      </c>
      <c r="O42" s="16" t="n"/>
      <c r="P42" s="15" t="inlineStr">
        <is>
          <t>To buy</t>
        </is>
      </c>
      <c r="Q42" s="10" t="inlineStr">
        <is>
          <t>Line sled, jaws, clips, test pieces. Mark 'Have already' if you have black.</t>
        </is>
      </c>
    </row>
    <row r="43">
      <c r="A43" s="9" t="n">
        <v>30</v>
      </c>
      <c r="B43" s="10" t="inlineStr">
        <is>
          <t>PETG filament, dark teal</t>
        </is>
      </c>
      <c r="C43" s="10" t="inlineStr">
        <is>
          <t>1 kg spool</t>
        </is>
      </c>
      <c r="D43" s="17">
        <f>'Printed parts'!C26</f>
        <v/>
      </c>
      <c r="E43" s="9" t="inlineStr">
        <is>
          <t>g</t>
        </is>
      </c>
      <c r="F43" s="12">
        <f>D43*$C$4</f>
        <v/>
      </c>
      <c r="G43" s="17">
        <f>'Printed parts'!D26</f>
        <v/>
      </c>
      <c r="H43" s="12">
        <f>F43+G43</f>
        <v/>
      </c>
      <c r="I43" s="11" t="n">
        <v>1000</v>
      </c>
      <c r="J43" s="12">
        <f>IF(H43=0,0,ROUNDUP(H43/I43,0))</f>
        <v/>
      </c>
      <c r="K43" s="13" t="n">
        <v>20</v>
      </c>
      <c r="L43" s="14">
        <f>IF(P43="Have already",0,J43*K43)</f>
        <v/>
      </c>
      <c r="M43" s="10" t="inlineStr">
        <is>
          <t>Local / Bambu store</t>
        </is>
      </c>
      <c r="N43" s="15" t="inlineStr">
        <is>
          <t>Local</t>
        </is>
      </c>
      <c r="O43" s="16" t="n"/>
      <c r="P43" s="15" t="inlineStr">
        <is>
          <t>To buy</t>
        </is>
      </c>
      <c r="Q43" s="10" t="inlineStr">
        <is>
          <t>Wheels only. Print them black instead to skip this spool.</t>
        </is>
      </c>
    </row>
    <row r="44">
      <c r="A44" s="9" t="n">
        <v>31</v>
      </c>
      <c r="B44" s="10" t="inlineStr">
        <is>
          <t>TPU 95A filament, black</t>
        </is>
      </c>
      <c r="C44" s="10" t="inlineStr">
        <is>
          <t>250–1000 g spool</t>
        </is>
      </c>
      <c r="D44" s="17">
        <f>'Printed parts'!C27</f>
        <v/>
      </c>
      <c r="E44" s="9" t="inlineStr">
        <is>
          <t>g</t>
        </is>
      </c>
      <c r="F44" s="12">
        <f>D44*$C$4</f>
        <v/>
      </c>
      <c r="G44" s="17">
        <f>'Printed parts'!D27</f>
        <v/>
      </c>
      <c r="H44" s="12">
        <f>F44+G44</f>
        <v/>
      </c>
      <c r="I44" s="11" t="n">
        <v>1000</v>
      </c>
      <c r="J44" s="12">
        <f>IF(H44=0,0,ROUNDUP(H44/I44,0))</f>
        <v/>
      </c>
      <c r="K44" s="13" t="n">
        <v>25</v>
      </c>
      <c r="L44" s="14">
        <f>IF(P44="Have already",0,J44*K44)</f>
        <v/>
      </c>
      <c r="M44" s="10" t="inlineStr">
        <is>
          <t>Local / Bambu store</t>
        </is>
      </c>
      <c r="N44" s="15" t="inlineStr">
        <is>
          <t>Local</t>
        </is>
      </c>
      <c r="O44" s="16" t="n"/>
      <c r="P44" s="15" t="inlineStr">
        <is>
          <t>To buy</t>
        </is>
      </c>
      <c r="Q44" s="10" t="inlineStr">
        <is>
          <t>Tyres only; about 25 g needed, so a small spool is enough.</t>
        </is>
      </c>
    </row>
    <row r="45">
      <c r="A45" s="7" t="inlineStr">
        <is>
          <t>Packaging (optional)</t>
        </is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</row>
    <row r="46">
      <c r="A46" s="9" t="n">
        <v>32</v>
      </c>
      <c r="B46" s="10" t="inlineStr">
        <is>
          <t>Mailer box + printed quick-start guide</t>
        </is>
      </c>
      <c r="C46" s="10" t="inlineStr">
        <is>
          <t>Design in mech/robot/packaging (273 × 203 × 83 mm outer)</t>
        </is>
      </c>
      <c r="D46" s="11" t="n">
        <v>1</v>
      </c>
      <c r="E46" s="9" t="inlineStr">
        <is>
          <t>pcs</t>
        </is>
      </c>
      <c r="F46" s="12">
        <f>D46*$C$4</f>
        <v/>
      </c>
      <c r="G46" s="11" t="n">
        <v>0</v>
      </c>
      <c r="H46" s="12">
        <f>F46+G46</f>
        <v/>
      </c>
      <c r="I46" s="11" t="n">
        <v>1</v>
      </c>
      <c r="J46" s="12">
        <f>IF(H46=0,0,ROUNDUP(H46/I46,0))</f>
        <v/>
      </c>
      <c r="K46" s="13" t="n">
        <v>2</v>
      </c>
      <c r="L46" s="14">
        <f>IF(P46="Have already",0,J46*K46)</f>
        <v/>
      </c>
      <c r="M46" s="10" t="inlineStr">
        <is>
          <t>Local print shop</t>
        </is>
      </c>
      <c r="N46" s="15" t="inlineStr">
        <is>
          <t>Local</t>
        </is>
      </c>
      <c r="O46" s="16" t="n"/>
      <c r="P46" s="15" t="inlineStr">
        <is>
          <t>To buy</t>
        </is>
      </c>
      <c r="Q46" s="10" t="inlineStr">
        <is>
          <t>Estimate from the costing model.</t>
        </is>
      </c>
    </row>
    <row r="47">
      <c r="A47" s="7" t="inlineStr">
        <is>
          <t>Shipping (estimates; replace with the checkout price)</t>
        </is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</row>
    <row r="48">
      <c r="A48" s="9" t="n">
        <v>33</v>
      </c>
      <c r="B48" s="10" t="inlineStr">
        <is>
          <t>Shipping: SparkFun order (motors)</t>
        </is>
      </c>
      <c r="C48" s="10" t="inlineStr">
        <is>
          <t>Courier to Zambia</t>
        </is>
      </c>
      <c r="D48" s="11" t="n">
        <v>0</v>
      </c>
      <c r="E48" s="9" t="inlineStr">
        <is>
          <t>order</t>
        </is>
      </c>
      <c r="F48" s="12">
        <f>D48*$C$4</f>
        <v/>
      </c>
      <c r="G48" s="11" t="n">
        <v>1</v>
      </c>
      <c r="H48" s="12">
        <f>F48+G48</f>
        <v/>
      </c>
      <c r="I48" s="11" t="n">
        <v>1</v>
      </c>
      <c r="J48" s="12">
        <f>IF(H48=0,0,ROUNDUP(H48/I48,0))</f>
        <v/>
      </c>
      <c r="K48" s="13" t="n">
        <v>50</v>
      </c>
      <c r="L48" s="14">
        <f>IF(P48="Have already",0,J48*K48)</f>
        <v/>
      </c>
      <c r="M48" s="10" t="inlineStr">
        <is>
          <t>SparkFun</t>
        </is>
      </c>
      <c r="N48" s="15" t="inlineStr">
        <is>
          <t>Import</t>
        </is>
      </c>
      <c r="O48" s="16" t="n"/>
      <c r="P48" s="15" t="inlineStr">
        <is>
          <t>To buy</t>
        </is>
      </c>
      <c r="Q48" s="10" t="inlineStr">
        <is>
          <t>Estimate. The courier may also bill VAT/duty on delivery (covered by the allowance below).</t>
        </is>
      </c>
    </row>
    <row r="49">
      <c r="A49" s="9" t="n">
        <v>34</v>
      </c>
      <c r="B49" s="10" t="inlineStr">
        <is>
          <t>Shipping: AliExpress orders</t>
        </is>
      </c>
      <c r="C49" s="10" t="inlineStr">
        <is>
          <t>All AliExpress parts</t>
        </is>
      </c>
      <c r="D49" s="11" t="n">
        <v>0</v>
      </c>
      <c r="E49" s="9" t="inlineStr">
        <is>
          <t>order</t>
        </is>
      </c>
      <c r="F49" s="12">
        <f>D49*$C$4</f>
        <v/>
      </c>
      <c r="G49" s="11" t="n">
        <v>1</v>
      </c>
      <c r="H49" s="12">
        <f>F49+G49</f>
        <v/>
      </c>
      <c r="I49" s="11" t="n">
        <v>1</v>
      </c>
      <c r="J49" s="12">
        <f>IF(H49=0,0,ROUNDUP(H49/I49,0))</f>
        <v/>
      </c>
      <c r="K49" s="13" t="n">
        <v>10</v>
      </c>
      <c r="L49" s="14">
        <f>IF(P49="Have already",0,J49*K49)</f>
        <v/>
      </c>
      <c r="M49" s="10" t="inlineStr">
        <is>
          <t>AliExpress</t>
        </is>
      </c>
      <c r="N49" s="15" t="inlineStr">
        <is>
          <t>Import</t>
        </is>
      </c>
      <c r="O49" s="16" t="n"/>
      <c r="P49" s="15" t="inlineStr">
        <is>
          <t>To buy</t>
        </is>
      </c>
      <c r="Q49" s="10" t="inlineStr">
        <is>
          <t>Estimate. Many stores ship free above a minimum order.</t>
        </is>
      </c>
    </row>
    <row r="50">
      <c r="A50" s="7" t="inlineStr">
        <is>
          <t>Tools (one-off; skip what you have)</t>
        </is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</row>
    <row r="51">
      <c r="A51" s="9" t="n">
        <v>35</v>
      </c>
      <c r="B51" s="10" t="inlineStr">
        <is>
          <t>Heat-set insert tips for the soldering iron</t>
        </is>
      </c>
      <c r="C51" s="10" t="inlineStr">
        <is>
          <t>M2 and M3 tips to fit your iron</t>
        </is>
      </c>
      <c r="D51" s="11" t="n">
        <v>0</v>
      </c>
      <c r="E51" s="9" t="inlineStr">
        <is>
          <t>set</t>
        </is>
      </c>
      <c r="F51" s="12">
        <f>D51*$C$4</f>
        <v/>
      </c>
      <c r="G51" s="11" t="n">
        <v>1</v>
      </c>
      <c r="H51" s="12">
        <f>F51+G51</f>
        <v/>
      </c>
      <c r="I51" s="11" t="n">
        <v>1</v>
      </c>
      <c r="J51" s="12">
        <f>IF(H51=0,0,ROUNDUP(H51/I51,0))</f>
        <v/>
      </c>
      <c r="K51" s="13" t="n">
        <v>5</v>
      </c>
      <c r="L51" s="14">
        <f>IF(P51="Have already",0,J51*K51)</f>
        <v/>
      </c>
      <c r="M51" s="10" t="inlineStr">
        <is>
          <t>AliExpress</t>
        </is>
      </c>
      <c r="N51" s="15" t="inlineStr">
        <is>
          <t>Import</t>
        </is>
      </c>
      <c r="O51" s="16" t="n"/>
      <c r="P51" s="15" t="inlineStr">
        <is>
          <t>Have already</t>
        </is>
      </c>
      <c r="Q51" s="10" t="inlineStr">
        <is>
          <t>Set to 'To buy' if your iron has none. Also used: soldering iron, multimeter (to match the cells).</t>
        </is>
      </c>
    </row>
    <row r="52"/>
    <row r="53">
      <c r="B53" s="18" t="inlineStr">
        <is>
          <t>Summary</t>
        </is>
      </c>
    </row>
    <row r="54">
      <c r="B54" s="3" t="inlineStr">
        <is>
          <t>Estimated cost, all lines</t>
        </is>
      </c>
      <c r="L54" s="19">
        <f>SUM(L8:L51)</f>
        <v/>
      </c>
      <c r="M54" s="2" t="inlineStr">
        <is>
          <t>Everything above at the estimated prices.</t>
        </is>
      </c>
    </row>
    <row r="55">
      <c r="B55" s="20" t="inlineStr">
        <is>
          <t xml:space="preserve">  of which: controller boards (PCBWay)</t>
        </is>
      </c>
      <c r="L55" s="21">
        <f>L9</f>
        <v/>
      </c>
      <c r="M55" s="2" t="inlineStr">
        <is>
          <t>Already quoted.</t>
        </is>
      </c>
    </row>
    <row r="56">
      <c r="B56" s="20" t="inlineStr">
        <is>
          <t xml:space="preserve">  of which: everything else</t>
        </is>
      </c>
      <c r="L56" s="21">
        <f>L54-L55</f>
        <v/>
      </c>
      <c r="M56" s="2" t="inlineStr">
        <is>
          <t>What this list still has to buy.</t>
        </is>
      </c>
    </row>
    <row r="57">
      <c r="B57" s="20" t="inlineStr">
        <is>
          <t>Import VAT + duty allowance</t>
        </is>
      </c>
      <c r="L57" s="21">
        <f>SUMIF(N8:N51,"Import",L8:L51)*$C$5</f>
        <v/>
      </c>
      <c r="M57" s="2" t="inlineStr">
        <is>
          <t>Allowance rate (C5) × lines marked Import.</t>
        </is>
      </c>
    </row>
    <row r="58">
      <c r="B58" s="3" t="inlineStr">
        <is>
          <t>Estimated total, landed</t>
        </is>
      </c>
      <c r="L58" s="22">
        <f>L54+L57</f>
        <v/>
      </c>
      <c r="M58" s="2" t="inlineStr"/>
    </row>
    <row r="59">
      <c r="B59" s="3" t="inlineStr">
        <is>
          <t>Per robot</t>
        </is>
      </c>
      <c r="L59" s="22">
        <f>IF($C$4=0,0,L58/$C$4)</f>
        <v/>
      </c>
      <c r="M59" s="2" t="inlineStr">
        <is>
          <t>Before labour (about 1.5 h per robot to assemble and test).</t>
        </is>
      </c>
    </row>
    <row r="60">
      <c r="B60" s="20" t="inlineStr">
        <is>
          <t>Actually paid so far</t>
        </is>
      </c>
      <c r="L60" s="21">
        <f>SUM(O8:O51)</f>
        <v/>
      </c>
      <c r="M60" s="2" t="inlineStr">
        <is>
          <t>From the yellow 'Actual paid' column.</t>
        </is>
      </c>
    </row>
    <row r="61">
      <c r="B61" s="20" t="inlineStr">
        <is>
          <t>Lines still 'To buy'</t>
        </is>
      </c>
      <c r="L61" s="23">
        <f>COUNTIF(P8:P51,"To buy")</f>
        <v/>
      </c>
      <c r="M61" s="2" t="inlineStr"/>
    </row>
    <row r="62"/>
    <row r="63">
      <c r="B63" s="18" t="inlineStr">
        <is>
          <t>Cost by section (estimate)</t>
        </is>
      </c>
    </row>
    <row r="64">
      <c r="B64" s="20" t="inlineStr">
        <is>
          <t>Controller board (on order at PCBWay)</t>
        </is>
      </c>
      <c r="L64" s="21">
        <f>SUM(L9:L9)</f>
        <v/>
      </c>
    </row>
    <row r="65">
      <c r="B65" s="20" t="inlineStr">
        <is>
          <t>Motors, sensors and servos</t>
        </is>
      </c>
      <c r="L65" s="21">
        <f>SUM(L11:L15)</f>
        <v/>
      </c>
    </row>
    <row r="66">
      <c r="B66" s="20" t="inlineStr">
        <is>
          <t>Battery and power</t>
        </is>
      </c>
      <c r="L66" s="21">
        <f>SUM(L17:L21)</f>
        <v/>
      </c>
    </row>
    <row r="67">
      <c r="B67" s="20" t="inlineStr">
        <is>
          <t>Cables</t>
        </is>
      </c>
      <c r="L67" s="21">
        <f>SUM(L23:L25)</f>
        <v/>
      </c>
    </row>
    <row r="68">
      <c r="B68" s="20" t="inlineStr">
        <is>
          <t>Screws, inserts and small hardware (with the arm and one bus clip)</t>
        </is>
      </c>
      <c r="L68" s="21">
        <f>SUM(L27:L39)</f>
        <v/>
      </c>
    </row>
    <row r="69">
      <c r="B69" s="20" t="inlineStr">
        <is>
          <t>3D printing filament (grams, from the Printed parts sheet)</t>
        </is>
      </c>
      <c r="L69" s="21">
        <f>SUM(L41:L44)</f>
        <v/>
      </c>
    </row>
    <row r="70">
      <c r="B70" s="20" t="inlineStr">
        <is>
          <t>Packaging (optional)</t>
        </is>
      </c>
      <c r="L70" s="21">
        <f>SUM(L46:L46)</f>
        <v/>
      </c>
    </row>
    <row r="71">
      <c r="B71" s="20" t="inlineStr">
        <is>
          <t>Shipping (estimates; replace with the checkout price)</t>
        </is>
      </c>
      <c r="L71" s="21">
        <f>SUM(L48:L49)</f>
        <v/>
      </c>
    </row>
    <row r="72">
      <c r="B72" s="20" t="inlineStr">
        <is>
          <t>Tools (one-off; skip what you have)</t>
        </is>
      </c>
      <c r="L72" s="21">
        <f>SUM(L51:L51)</f>
        <v/>
      </c>
    </row>
  </sheetData>
  <autoFilter ref="A7:Q51"/>
  <conditionalFormatting sqref="P8:P51">
    <cfRule type="cellIs" priority="1" operator="equal" dxfId="0">
      <formula>"Received"</formula>
    </cfRule>
    <cfRule type="cellIs" priority="2" operator="equal" dxfId="0">
      <formula>"Have already"</formula>
    </cfRule>
    <cfRule type="cellIs" priority="3" operator="equal" dxfId="1">
      <formula>"Ordered"</formula>
    </cfRule>
    <cfRule type="cellIs" priority="4" operator="equal" dxfId="1">
      <formula>"Quoted"</formula>
    </cfRule>
  </conditionalFormatting>
  <dataValidations count="2">
    <dataValidation sqref="P8:P51" showDropDown="0" showInputMessage="0" showErrorMessage="0" allowBlank="1" type="list">
      <formula1>"To buy,Quoted,Ordered,Received,Have already"</formula1>
    </dataValidation>
    <dataValidation sqref="N8:N51" showDropDown="0" showInputMessage="0" showErrorMessage="0" allowBlank="0" type="list">
      <formula1>"Import,Local"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zoomScale="11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10" customWidth="1" min="3" max="3"/>
    <col width="12" customWidth="1" min="4" max="4"/>
    <col width="11" customWidth="1" min="5" max="5"/>
    <col width="11" customWidth="1" min="6" max="6"/>
    <col width="11" customWidth="1" min="7" max="7"/>
    <col width="12" customWidth="1" min="8" max="8"/>
    <col width="11" customWidth="1" min="9" max="9"/>
    <col width="13" customWidth="1" min="10" max="10"/>
    <col width="60" customWidth="1" min="11" max="11"/>
  </cols>
  <sheetData>
    <row r="1">
      <c r="A1" s="1" t="inlineStr">
        <is>
          <t>RoboCore V2: 3D-printed parts and filament</t>
        </is>
      </c>
    </row>
    <row r="2">
      <c r="A2" s="2" t="inlineStr">
        <is>
          <t>Masses from the shell/infill model in fusion/checks.py (mech/robot/README.md, rev 5). Files: mech/robot/print/, already in print orientation.</t>
        </is>
      </c>
    </row>
    <row r="3">
      <c r="A3" s="3" t="inlineStr">
        <is>
          <t>Robots to build</t>
        </is>
      </c>
      <c r="C3" s="24">
        <f>'Component list'!C4</f>
        <v/>
      </c>
    </row>
    <row r="4">
      <c r="A4" s="3" t="inlineStr">
        <is>
          <t>Waste allowance (brim, purge, failed prints)</t>
        </is>
      </c>
      <c r="C4" s="25" t="n">
        <v>0.15</v>
      </c>
    </row>
    <row r="5"/>
    <row r="6">
      <c r="A6" s="6" t="inlineStr">
        <is>
          <t>Part</t>
        </is>
      </c>
      <c r="B6" s="6" t="inlineStr">
        <is>
          <t>Print file</t>
        </is>
      </c>
      <c r="C6" s="6" t="inlineStr">
        <is>
          <t>Per robot</t>
        </is>
      </c>
      <c r="D6" s="6" t="inlineStr">
        <is>
          <t>One-off (test pieces)</t>
        </is>
      </c>
      <c r="E6" s="6" t="inlineStr">
        <is>
          <t>Material</t>
        </is>
      </c>
      <c r="F6" s="6" t="inlineStr">
        <is>
          <t>Colour</t>
        </is>
      </c>
      <c r="G6" s="6" t="inlineStr">
        <is>
          <t>Mass each (g)</t>
        </is>
      </c>
      <c r="H6" s="6" t="inlineStr">
        <is>
          <t>Per robot (g)</t>
        </is>
      </c>
      <c r="I6" s="6" t="inlineStr">
        <is>
          <t>One-off (g)</t>
        </is>
      </c>
      <c r="J6" s="6" t="inlineStr">
        <is>
          <t>All robots (g)</t>
        </is>
      </c>
      <c r="K6" s="6" t="inlineStr">
        <is>
          <t>Notes</t>
        </is>
      </c>
    </row>
    <row r="7">
      <c r="A7" s="10" t="inlineStr">
        <is>
          <t>Chassis</t>
        </is>
      </c>
      <c r="B7" s="10" t="inlineStr">
        <is>
          <t>RoboCore_V2_Chassis.3mf</t>
        </is>
      </c>
      <c r="C7" s="15" t="n">
        <v>1</v>
      </c>
      <c r="D7" s="15" t="n">
        <v>0</v>
      </c>
      <c r="E7" s="9" t="inlineStr">
        <is>
          <t>PETG</t>
        </is>
      </c>
      <c r="F7" s="15" t="inlineStr">
        <is>
          <t>Yellow</t>
        </is>
      </c>
      <c r="G7" s="26" t="n">
        <v>133</v>
      </c>
      <c r="H7" s="27">
        <f>C7*G7</f>
        <v/>
      </c>
      <c r="I7" s="27">
        <f>D7*G7</f>
        <v/>
      </c>
      <c r="J7" s="27">
        <f>H7*$C$3+I7</f>
        <v/>
      </c>
      <c r="K7" s="10" t="inlineStr">
        <is>
          <t>Deck (top) down. About 9–11 h on an A1 mini. Brim 5 mm if the corners lift</t>
        </is>
      </c>
    </row>
    <row r="8">
      <c r="A8" s="10" t="inlineStr">
        <is>
          <t>Line sled</t>
        </is>
      </c>
      <c r="B8" s="10" t="inlineStr">
        <is>
          <t>RoboCore_V2_Line_sled_10.5.3mf</t>
        </is>
      </c>
      <c r="C8" s="15" t="n">
        <v>1</v>
      </c>
      <c r="D8" s="15" t="n">
        <v>0</v>
      </c>
      <c r="E8" s="9" t="inlineStr">
        <is>
          <t>PETG</t>
        </is>
      </c>
      <c r="F8" s="15" t="inlineStr">
        <is>
          <t>Black</t>
        </is>
      </c>
      <c r="G8" s="26" t="n">
        <v>3.6</v>
      </c>
      <c r="H8" s="27">
        <f>C8*G8</f>
        <v/>
      </c>
      <c r="I8" s="27">
        <f>D8*G8</f>
        <v/>
      </c>
      <c r="J8" s="27">
        <f>H8*$C$3+I8</f>
        <v/>
      </c>
      <c r="K8" s="10" t="inlineStr">
        <is>
          <t>9.5 / 11.5 mm versions to taste. Sized for a 60 × 24 mm sensor board</t>
        </is>
      </c>
    </row>
    <row r="9">
      <c r="A9" s="10" t="inlineStr">
        <is>
          <t>Wheel</t>
        </is>
      </c>
      <c r="B9" s="10" t="inlineStr">
        <is>
          <t>RoboCore_V2_Wheel.3mf</t>
        </is>
      </c>
      <c r="C9" s="15" t="n">
        <v>2</v>
      </c>
      <c r="D9" s="15" t="n">
        <v>0</v>
      </c>
      <c r="E9" s="9" t="inlineStr">
        <is>
          <t>PETG</t>
        </is>
      </c>
      <c r="F9" s="15" t="inlineStr">
        <is>
          <t>Dark teal</t>
        </is>
      </c>
      <c r="G9" s="26" t="n">
        <v>7.9</v>
      </c>
      <c r="H9" s="27">
        <f>C9*G9</f>
        <v/>
      </c>
      <c r="I9" s="27">
        <f>D9*G9</f>
        <v/>
      </c>
      <c r="J9" s="27">
        <f>H9*$C$3+I9</f>
        <v/>
      </c>
      <c r="K9" s="10" t="inlineStr">
        <is>
          <t>30 % infill. Can be printed black to skip buying a teal spool</t>
        </is>
      </c>
    </row>
    <row r="10">
      <c r="A10" s="10" t="inlineStr">
        <is>
          <t>Tyre</t>
        </is>
      </c>
      <c r="B10" s="10" t="inlineStr">
        <is>
          <t>RoboCore_V2_Tyre_TPU.3mf</t>
        </is>
      </c>
      <c r="C10" s="15" t="n">
        <v>2</v>
      </c>
      <c r="D10" s="15" t="n">
        <v>0</v>
      </c>
      <c r="E10" s="9" t="inlineStr">
        <is>
          <t>TPU 95A</t>
        </is>
      </c>
      <c r="F10" s="15" t="inlineStr">
        <is>
          <t>Black</t>
        </is>
      </c>
      <c r="G10" s="26" t="n">
        <v>4.6</v>
      </c>
      <c r="H10" s="27">
        <f>C10*G10</f>
        <v/>
      </c>
      <c r="I10" s="27">
        <f>D10*G10</f>
        <v/>
      </c>
      <c r="J10" s="27">
        <f>H10*$C$3+I10</f>
        <v/>
      </c>
      <c r="K10" s="10" t="inlineStr">
        <is>
          <t>Print slowly (25 mm/s or less)</t>
        </is>
      </c>
    </row>
    <row r="11">
      <c r="A11" s="10" t="inlineStr">
        <is>
          <t>Sonar bracket (pod)</t>
        </is>
      </c>
      <c r="B11" s="10" t="inlineStr">
        <is>
          <t>RoboCore_V2_Sonar_bracket.3mf</t>
        </is>
      </c>
      <c r="C11" s="15" t="n">
        <v>1</v>
      </c>
      <c r="D11" s="15" t="n">
        <v>0</v>
      </c>
      <c r="E11" s="9" t="inlineStr">
        <is>
          <t>PETG</t>
        </is>
      </c>
      <c r="F11" s="15" t="inlineStr">
        <is>
          <t>Yellow</t>
        </is>
      </c>
      <c r="G11" s="26" t="n">
        <v>9</v>
      </c>
      <c r="H11" s="27">
        <f>C11*G11</f>
        <v/>
      </c>
      <c r="I11" s="27">
        <f>D11*G11</f>
        <v/>
      </c>
      <c r="J11" s="27">
        <f>H11*$C$3+I11</f>
        <v/>
      </c>
      <c r="K11" s="10" t="inlineStr">
        <is>
          <t>Plate top face down, pod up</t>
        </is>
      </c>
    </row>
    <row r="12">
      <c r="A12" s="10" t="inlineStr">
        <is>
          <t>Arm base</t>
        </is>
      </c>
      <c r="B12" s="10" t="inlineStr">
        <is>
          <t>RoboCore_V2_Arm_base.3mf</t>
        </is>
      </c>
      <c r="C12" s="15" t="n">
        <v>1</v>
      </c>
      <c r="D12" s="15" t="n">
        <v>0</v>
      </c>
      <c r="E12" s="9" t="inlineStr">
        <is>
          <t>PETG</t>
        </is>
      </c>
      <c r="F12" s="15" t="inlineStr">
        <is>
          <t>Yellow</t>
        </is>
      </c>
      <c r="G12" s="26" t="n">
        <v>7.9</v>
      </c>
      <c r="H12" s="27">
        <f>C12*G12</f>
        <v/>
      </c>
      <c r="I12" s="27">
        <f>D12*G12</f>
        <v/>
      </c>
      <c r="J12" s="27">
        <f>H12*$C$3+I12</f>
        <v/>
      </c>
      <c r="K12" s="10" t="inlineStr">
        <is>
          <t>Arm module</t>
        </is>
      </c>
    </row>
    <row r="13">
      <c r="A13" s="10" t="inlineStr">
        <is>
          <t>Arm</t>
        </is>
      </c>
      <c r="B13" s="10" t="inlineStr">
        <is>
          <t>RoboCore_V2_Arm.3mf</t>
        </is>
      </c>
      <c r="C13" s="15" t="n">
        <v>1</v>
      </c>
      <c r="D13" s="15" t="n">
        <v>0</v>
      </c>
      <c r="E13" s="9" t="inlineStr">
        <is>
          <t>PETG</t>
        </is>
      </c>
      <c r="F13" s="15" t="inlineStr">
        <is>
          <t>Yellow</t>
        </is>
      </c>
      <c r="G13" s="26" t="n">
        <v>11.1</v>
      </c>
      <c r="H13" s="27">
        <f>C13*G13</f>
        <v/>
      </c>
      <c r="I13" s="27">
        <f>D13*G13</f>
        <v/>
      </c>
      <c r="J13" s="27">
        <f>H13*$C$3+I13</f>
        <v/>
      </c>
      <c r="K13" s="10" t="inlineStr">
        <is>
          <t>Arm module, 30 % infill</t>
        </is>
      </c>
    </row>
    <row r="14">
      <c r="A14" s="10" t="inlineStr">
        <is>
          <t>Jaw L (driven)</t>
        </is>
      </c>
      <c r="B14" s="10" t="inlineStr">
        <is>
          <t>RoboCore_V2_Jaw_L_driven.3mf</t>
        </is>
      </c>
      <c r="C14" s="15" t="n">
        <v>1</v>
      </c>
      <c r="D14" s="15" t="n">
        <v>0</v>
      </c>
      <c r="E14" s="9" t="inlineStr">
        <is>
          <t>PETG</t>
        </is>
      </c>
      <c r="F14" s="15" t="inlineStr">
        <is>
          <t>Black</t>
        </is>
      </c>
      <c r="G14" s="26" t="n">
        <v>1.1</v>
      </c>
      <c r="H14" s="27">
        <f>C14*G14</f>
        <v/>
      </c>
      <c r="I14" s="27">
        <f>D14*G14</f>
        <v/>
      </c>
      <c r="J14" s="27">
        <f>H14*$C$3+I14</f>
        <v/>
      </c>
      <c r="K14" s="10" t="inlineStr">
        <is>
          <t>40 % infill</t>
        </is>
      </c>
    </row>
    <row r="15">
      <c r="A15" s="10" t="inlineStr">
        <is>
          <t>Jaw R (idle)</t>
        </is>
      </c>
      <c r="B15" s="10" t="inlineStr">
        <is>
          <t>RoboCore_V2_Jaw_R_idle.3mf</t>
        </is>
      </c>
      <c r="C15" s="15" t="n">
        <v>1</v>
      </c>
      <c r="D15" s="15" t="n">
        <v>0</v>
      </c>
      <c r="E15" s="9" t="inlineStr">
        <is>
          <t>PETG</t>
        </is>
      </c>
      <c r="F15" s="15" t="inlineStr">
        <is>
          <t>Black</t>
        </is>
      </c>
      <c r="G15" s="26" t="n">
        <v>1.3</v>
      </c>
      <c r="H15" s="27">
        <f>C15*G15</f>
        <v/>
      </c>
      <c r="I15" s="27">
        <f>D15*G15</f>
        <v/>
      </c>
      <c r="J15" s="27">
        <f>H15*$C$3+I15</f>
        <v/>
      </c>
      <c r="K15" s="10" t="inlineStr">
        <is>
          <t>40 % infill</t>
        </is>
      </c>
    </row>
    <row r="16">
      <c r="A16" s="10" t="inlineStr">
        <is>
          <t>Ballast clip</t>
        </is>
      </c>
      <c r="B16" s="10" t="inlineStr">
        <is>
          <t>RoboCore_V2_Ballast_clip.3mf</t>
        </is>
      </c>
      <c r="C16" s="15" t="n">
        <v>2</v>
      </c>
      <c r="D16" s="15" t="n">
        <v>0</v>
      </c>
      <c r="E16" s="9" t="inlineStr">
        <is>
          <t>PETG</t>
        </is>
      </c>
      <c r="F16" s="15" t="inlineStr">
        <is>
          <t>Black</t>
        </is>
      </c>
      <c r="G16" s="26" t="n">
        <v>3.8</v>
      </c>
      <c r="H16" s="27">
        <f>C16*G16</f>
        <v/>
      </c>
      <c r="I16" s="27">
        <f>D16*G16</f>
        <v/>
      </c>
      <c r="J16" s="27">
        <f>H16*$C$3+I16</f>
        <v/>
      </c>
      <c r="K16" s="10" t="inlineStr">
        <is>
          <t>Needed with the arm (3 × M8 nuts each)</t>
        </is>
      </c>
    </row>
    <row r="17">
      <c r="A17" s="10" t="inlineStr">
        <is>
          <t>Bus clip</t>
        </is>
      </c>
      <c r="B17" s="10" t="inlineStr">
        <is>
          <t>RoboCore_V2_Bus_clip.3mf</t>
        </is>
      </c>
      <c r="C17" s="15" t="n">
        <v>1</v>
      </c>
      <c r="D17" s="15" t="n">
        <v>1</v>
      </c>
      <c r="E17" s="9" t="inlineStr">
        <is>
          <t>PETG</t>
        </is>
      </c>
      <c r="F17" s="15" t="inlineStr">
        <is>
          <t>Black</t>
        </is>
      </c>
      <c r="G17" s="26" t="n">
        <v>1.7</v>
      </c>
      <c r="H17" s="27">
        <f>C17*G17</f>
        <v/>
      </c>
      <c r="I17" s="27">
        <f>D17*G17</f>
        <v/>
      </c>
      <c r="J17" s="27">
        <f>H17*$C$3+I17</f>
        <v/>
      </c>
      <c r="K17" s="10" t="inlineStr">
        <is>
          <t>Accessory clip; one extra printed first to test tolerances</t>
        </is>
      </c>
    </row>
    <row r="18">
      <c r="A18" s="10" t="inlineStr">
        <is>
          <t>Rail coupon (test piece)</t>
        </is>
      </c>
      <c r="B18" s="10" t="inlineStr">
        <is>
          <t>RoboCore_V2_Rail_coupon.3mf</t>
        </is>
      </c>
      <c r="C18" s="15" t="n">
        <v>0</v>
      </c>
      <c r="D18" s="15" t="n">
        <v>1</v>
      </c>
      <c r="E18" s="9" t="inlineStr">
        <is>
          <t>PETG</t>
        </is>
      </c>
      <c r="F18" s="15" t="inlineStr">
        <is>
          <t>Black</t>
        </is>
      </c>
      <c r="G18" s="26" t="n">
        <v>3.3</v>
      </c>
      <c r="H18" s="27">
        <f>C18*G18</f>
        <v/>
      </c>
      <c r="I18" s="27">
        <f>D18*G18</f>
        <v/>
      </c>
      <c r="J18" s="27">
        <f>H18*$C$3+I18</f>
        <v/>
      </c>
      <c r="K18" s="10" t="inlineStr">
        <is>
          <t>Print once, first, to check your printer's tolerances</t>
        </is>
      </c>
    </row>
    <row r="19"/>
    <row r="20">
      <c r="A20" s="3" t="inlineStr">
        <is>
          <t>Total per robot (g)</t>
        </is>
      </c>
      <c r="H20" s="28">
        <f>SUM(H7:H18)</f>
        <v/>
      </c>
      <c r="I20" s="28">
        <f>SUM(I7:I18)</f>
        <v/>
      </c>
      <c r="J20" s="28">
        <f>SUM(J7:J18)</f>
        <v/>
      </c>
    </row>
    <row r="21"/>
    <row r="22">
      <c r="A22" s="18" t="inlineStr">
        <is>
          <t>Filament to buy (includes the waste allowance)</t>
        </is>
      </c>
    </row>
    <row r="23">
      <c r="A23" s="29" t="inlineStr">
        <is>
          <t>Material</t>
        </is>
      </c>
      <c r="B23" s="29" t="inlineStr">
        <is>
          <t>Colour</t>
        </is>
      </c>
      <c r="C23" s="29" t="inlineStr">
        <is>
          <t>Per robot (g)</t>
        </is>
      </c>
      <c r="D23" s="29" t="inlineStr">
        <is>
          <t>One-off (g)</t>
        </is>
      </c>
      <c r="E23" s="29" t="inlineStr">
        <is>
          <t>All robots (g)</t>
        </is>
      </c>
    </row>
    <row r="24">
      <c r="A24" s="30" t="inlineStr">
        <is>
          <t>PETG</t>
        </is>
      </c>
      <c r="B24" s="30" t="inlineStr">
        <is>
          <t>Yellow</t>
        </is>
      </c>
      <c r="C24" s="31">
        <f>SUMIFS($H$7:$H$18,$E$7:$E$18,A24,$F$7:$F$18,B24)*(1+$C$4)</f>
        <v/>
      </c>
      <c r="D24" s="31">
        <f>SUMIFS($I$7:$I$18,$E$7:$E$18,A24,$F$7:$F$18,B24)*(1+$C$4)</f>
        <v/>
      </c>
      <c r="E24" s="31">
        <f>C24*$C$3+D24</f>
        <v/>
      </c>
    </row>
    <row r="25">
      <c r="A25" s="30" t="inlineStr">
        <is>
          <t>PETG</t>
        </is>
      </c>
      <c r="B25" s="30" t="inlineStr">
        <is>
          <t>Black</t>
        </is>
      </c>
      <c r="C25" s="31">
        <f>SUMIFS($H$7:$H$18,$E$7:$E$18,A25,$F$7:$F$18,B25)*(1+$C$4)</f>
        <v/>
      </c>
      <c r="D25" s="31">
        <f>SUMIFS($I$7:$I$18,$E$7:$E$18,A25,$F$7:$F$18,B25)*(1+$C$4)</f>
        <v/>
      </c>
      <c r="E25" s="31">
        <f>C25*$C$3+D25</f>
        <v/>
      </c>
    </row>
    <row r="26">
      <c r="A26" s="30" t="inlineStr">
        <is>
          <t>PETG</t>
        </is>
      </c>
      <c r="B26" s="30" t="inlineStr">
        <is>
          <t>Dark teal</t>
        </is>
      </c>
      <c r="C26" s="31">
        <f>SUMIFS($H$7:$H$18,$E$7:$E$18,A26,$F$7:$F$18,B26)*(1+$C$4)</f>
        <v/>
      </c>
      <c r="D26" s="31">
        <f>SUMIFS($I$7:$I$18,$E$7:$E$18,A26,$F$7:$F$18,B26)*(1+$C$4)</f>
        <v/>
      </c>
      <c r="E26" s="31">
        <f>C26*$C$3+D26</f>
        <v/>
      </c>
    </row>
    <row r="27">
      <c r="A27" s="30" t="inlineStr">
        <is>
          <t>TPU 95A</t>
        </is>
      </c>
      <c r="B27" s="30" t="inlineStr">
        <is>
          <t>Black</t>
        </is>
      </c>
      <c r="C27" s="31">
        <f>SUMIFS($H$7:$H$18,$E$7:$E$18,A27,$F$7:$F$18,B27)*(1+$C$4)</f>
        <v/>
      </c>
      <c r="D27" s="31">
        <f>SUMIFS($I$7:$I$18,$E$7:$E$18,A27,$F$7:$F$18,B27)*(1+$C$4)</f>
        <v/>
      </c>
      <c r="E27" s="31">
        <f>C27*$C$3+D27</f>
        <v/>
      </c>
    </row>
    <row r="28"/>
    <row r="29">
      <c r="A29" s="2" t="inlineStr">
        <is>
          <t>Print time: about 13 printer-hours per robot on an A1 mini (chassis 9–11 h). Estimate; slice to confirm.</t>
        </is>
      </c>
    </row>
    <row r="30">
      <c r="A30" s="2" t="inlineStr">
        <is>
          <t>Settings: 0.2 mm layers, 3 walls, 25 % gyroid (wheels and arm 30 %, jaws and clips 40 %), no supports, PETG 240–250 °C.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7"/>
  <sheetViews>
    <sheetView zoomScale="110"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RoboCore V2 component list: notes</t>
        </is>
      </c>
    </row>
    <row r="2"/>
    <row r="3"/>
    <row r="4">
      <c r="A4" s="18" t="inlineStr">
        <is>
          <t>How to use it</t>
        </is>
      </c>
    </row>
    <row r="5">
      <c r="A5" s="32" t="inlineStr">
        <is>
          <t>Change 'Robots to build' (Component list, C4) and every quantity and total updates. The filament grams follow the Printed parts sheet.</t>
        </is>
      </c>
    </row>
    <row r="6">
      <c r="A6" s="32" t="inlineStr">
        <is>
          <t>Blue text = inputs you can change (quantities, spares, pack sizes, estimated prices, origin, status).</t>
        </is>
      </c>
    </row>
    <row r="7">
      <c r="A7" s="32" t="inlineStr">
        <is>
          <t>Lines marked 'Have already' count as $0 in the estimate (e.g. a filament colour you already have).</t>
        </is>
      </c>
    </row>
    <row r="8">
      <c r="A8" s="32" t="inlineStr">
        <is>
          <t>Yellow cells = fill in the real price when you pay ('Actual paid', the total for that line). The summary adds them up.</t>
        </is>
      </c>
    </row>
    <row r="9">
      <c r="A9" s="32" t="inlineStr">
        <is>
          <t>Green text = linked from the Printed parts sheet. Black = formulas; don't type over them.</t>
        </is>
      </c>
    </row>
    <row r="10">
      <c r="A10" s="32" t="inlineStr">
        <is>
          <t>Status drop-down: To buy / Quoted / Ordered / Received / Have already. Use the filter arrows on the header row to see what is left.</t>
        </is>
      </c>
    </row>
    <row r="11"/>
    <row r="12">
      <c r="A12" s="18" t="inlineStr">
        <is>
          <t>Check before buying</t>
        </is>
      </c>
    </row>
    <row r="13">
      <c r="A13" s="32" t="inlineStr">
        <is>
          <t>1. Motors: the chassis is built around the SparkFun XRP motor (ROB-24053). Generic TT encoder motors have a different encoder cover, plug (PH2.0) and pin order.</t>
        </is>
      </c>
    </row>
    <row r="14">
      <c r="A14" s="32" t="inlineStr">
        <is>
          <t>2. Ultrasonic: J403 gives 3.3 V, so buy a 3.3 V-capable module (HC-SR04P or RCWL-1601), not the classic 5 V HC-SR04.</t>
        </is>
      </c>
    </row>
    <row r="15">
      <c r="A15" s="32" t="inlineStr">
        <is>
          <t>3. Line sensor: needs analog outputs, and the printed sled is sized for a 60 × 24 mm board. Buy one first and check it.</t>
        </is>
      </c>
    </row>
    <row r="16">
      <c r="A16" s="32" t="inlineStr">
        <is>
          <t>4. Battery: holder wired in parallel (1S3P), never in series. Add a 1S protection board: the controller has no low-battery cut-off.</t>
        </is>
      </c>
    </row>
    <row r="17">
      <c r="A17" s="32" t="inlineStr">
        <is>
          <t>5. 18650 cells: buy locally or from South Africa, branded and matched. Don't ship loose lithium cells from China.</t>
        </is>
      </c>
    </row>
    <row r="18"/>
    <row r="19">
      <c r="A19" s="18" t="inlineStr">
        <is>
          <t>Not included</t>
        </is>
      </c>
    </row>
    <row r="20">
      <c r="A20" s="32" t="inlineStr">
        <is>
          <t>Labour (about 1.5 h per robot), printer time (about 13 h per robot), tools you already have, and any duty above the allowance in C5.</t>
        </is>
      </c>
    </row>
    <row r="21"/>
    <row r="22">
      <c r="A22" s="18" t="inlineStr">
        <is>
          <t>Sources</t>
        </is>
      </c>
    </row>
    <row r="23">
      <c r="A23" s="32" t="inlineStr">
        <is>
          <t>Robot BOM, hardware table and printed-part masses: mech/robot/README.md (rev 5).</t>
        </is>
      </c>
    </row>
    <row r="24">
      <c r="A24" s="32" t="inlineStr">
        <is>
          <t>PCBWay quote: fab/PCBWay_V2_2026-10-08/ORDER_NOTES.md and the cart (W836287AS1F11 / T-1F12W836287A, 2026-10-09).</t>
        </is>
      </c>
    </row>
    <row r="25">
      <c r="A25" s="32" t="inlineStr">
        <is>
          <t>Motor price and contents: https://www.sparkfun.com/hobby-motor-with-encoder-plastic-gear-pair-red.html (checked 2026-10-11: $28.50, 'Backorder' shown).</t>
        </is>
      </c>
    </row>
    <row r="26">
      <c r="A26" s="32" t="inlineStr">
        <is>
          <t>Other prices: estimates from tools/costing/cost_model.py (2026-10-07) and typical AliExpress prices. Replace them with real quotes.</t>
        </is>
      </c>
    </row>
    <row r="27">
      <c r="A27" s="32" t="inlineStr">
        <is>
          <t>Connector facts (J403 3.3 V, J404 analog, XT30 male on the board): docs/RoboCore_V2_spec.md.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2026-10-11T11:49:35Z</dcterms:created>
  <dcterms:modified xsi:type="dcterms:W3CDTF">2026-10-11T11:49:35Z</dcterms:modified>
</cp:coreProperties>
</file>