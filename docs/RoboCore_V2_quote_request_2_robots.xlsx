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request" sheetId="1" state="visible" r:id="rId1"/>
  </sheets>
  <definedNames>
    <definedName name="_xlnm.Print_Titles" localSheetId="0">'Quote request'!$9:$9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4A5565"/>
      <sz val="10"/>
    </font>
    <font>
      <name val="Arial"/>
      <b val="1"/>
      <sz val="10"/>
    </font>
    <font>
      <name val="Arial"/>
      <color rgb="001F3FBF"/>
      <sz val="10"/>
    </font>
    <font>
      <name val="Arial"/>
      <color rgb="004A5565"/>
      <sz val="9"/>
    </font>
    <font>
      <name val="Arial"/>
      <b val="1"/>
      <color rgb="00FFFFFF"/>
      <sz val="9"/>
    </font>
    <font>
      <name val="Arial"/>
      <b val="1"/>
      <color rgb="001F2A44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1F3FBF"/>
      <sz val="10"/>
    </font>
    <font>
      <name val="Arial"/>
      <i val="1"/>
      <color rgb="004A5565"/>
      <sz val="9"/>
    </font>
  </fonts>
  <fills count="6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1F2A44"/>
      </patternFill>
    </fill>
    <fill>
      <patternFill patternType="solid">
        <fgColor rgb="007A5C00"/>
      </patternFill>
    </fill>
    <fill>
      <patternFill patternType="solid">
        <fgColor rgb="00E8ECF3"/>
      </patternFill>
    </fill>
  </fills>
  <borders count="2">
    <border>
      <left/>
      <right/>
      <top/>
      <bottom/>
      <diagonal/>
    </border>
    <border>
      <left style="thin">
        <color rgb="00C9D0D8"/>
      </left>
      <right style="thin">
        <color rgb="00C9D0D8"/>
      </right>
      <top style="thin">
        <color rgb="00C9D0D8"/>
      </top>
      <bottom style="thin">
        <color rgb="00C9D0D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5" borderId="0" pivotButton="0" quotePrefix="0" xfId="0"/>
    <xf numFmtId="0" fontId="0" fillId="5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164" fontId="4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right"/>
    </xf>
    <xf numFmtId="164" fontId="9" fillId="0" borderId="1" pivotButton="0" quotePrefix="0" xfId="0"/>
    <xf numFmtId="164" fontId="10" fillId="2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/Relationships>
</file>

<file path=xl/drawings/drawing1.xml><?xml version="1.0" encoding="utf-8"?>
<wsDr xmlns="http://schemas.openxmlformats.org/drawingml/2006/spreadsheetDrawing">
  <oneCellAnchor>
    <from>
      <col>1</col>
      <colOff>123825</colOff>
      <row>10</row>
      <rowOff>38100</rowOff>
    </from>
    <ext cx="10287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11</row>
      <rowOff>76200</rowOff>
    </from>
    <ext cx="1143000" cy="771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12</row>
      <rowOff>114300</rowOff>
    </from>
    <ext cx="1143000" cy="695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13</row>
      <rowOff>38100</rowOff>
    </from>
    <ext cx="1143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15</row>
      <rowOff>38100</rowOff>
    </from>
    <ext cx="1143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16</row>
      <rowOff>85725</rowOff>
    </from>
    <ext cx="1143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17</row>
      <rowOff>38100</rowOff>
    </from>
    <ext cx="10858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76200</colOff>
      <row>19</row>
      <rowOff>38100</rowOff>
    </from>
    <ext cx="1114425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21</row>
      <rowOff>38100</rowOff>
    </from>
    <ext cx="1143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22</row>
      <rowOff>38100</rowOff>
    </from>
    <ext cx="1143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23</row>
      <rowOff>38100</rowOff>
    </from>
    <ext cx="1000125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24</row>
      <rowOff>38100</rowOff>
    </from>
    <ext cx="1143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25</row>
      <rowOff>85725</rowOff>
    </from>
    <ext cx="11430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26</row>
      <rowOff>38100</rowOff>
    </from>
    <ext cx="1000125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27</row>
      <rowOff>38100</rowOff>
    </from>
    <ext cx="1000125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28</row>
      <rowOff>38100</rowOff>
    </from>
    <ext cx="1000125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29</row>
      <rowOff>38100</rowOff>
    </from>
    <ext cx="85725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30</row>
      <rowOff>38100</rowOff>
    </from>
    <ext cx="1143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31</row>
      <rowOff>38100</rowOff>
    </from>
    <ext cx="10858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32</row>
      <rowOff>38100</rowOff>
    </from>
    <ext cx="5334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104775</colOff>
      <row>33</row>
      <rowOff>38100</rowOff>
    </from>
    <ext cx="10668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35</row>
      <rowOff>142875</rowOff>
    </from>
    <ext cx="1143000" cy="6477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36</row>
      <rowOff>142875</rowOff>
    </from>
    <ext cx="1143000" cy="6477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37</row>
      <rowOff>142875</rowOff>
    </from>
    <ext cx="1143000" cy="647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66675</colOff>
      <row>38</row>
      <rowOff>142875</rowOff>
    </from>
    <ext cx="1143000" cy="6477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.5" customWidth="1" min="2" max="2"/>
    <col width="26" customWidth="1" min="3" max="3"/>
    <col width="44" customWidth="1" min="4" max="4"/>
    <col width="7" customWidth="1" min="5" max="5"/>
    <col width="7" customWidth="1" min="6" max="6"/>
    <col width="13" customWidth="1" min="7" max="7"/>
    <col width="38" customWidth="1" min="8" max="8"/>
    <col width="11" customWidth="1" min="9" max="9"/>
    <col width="15" customWidth="1" min="10" max="10"/>
    <col width="11" customWidth="1" min="11" max="11"/>
    <col width="10" customWidth="1" min="12" max="12"/>
    <col width="24" customWidth="1" min="13" max="13"/>
    <col width="26" customWidth="1" min="14" max="14"/>
  </cols>
  <sheetData>
    <row r="1">
      <c r="A1" s="1" t="inlineStr">
        <is>
          <t>RoboCore V2 robot: request for quotation</t>
        </is>
      </c>
    </row>
    <row r="2">
      <c r="A2" s="2" t="inlineStr">
        <is>
          <t>Parts for 2 robots. Date: 2026-10-12. Please quote in USD.</t>
        </is>
      </c>
    </row>
    <row r="4">
      <c r="B4" s="3" t="inlineStr">
        <is>
          <t>From</t>
        </is>
      </c>
      <c r="D4" s="4" t="inlineStr">
        <is>
          <t>RoboCore Zambia</t>
        </is>
      </c>
      <c r="H4" s="5" t="inlineStr">
        <is>
          <t>How to fill in: the yellow columns on the right, one line per item. Partial quotes are welcome.</t>
        </is>
      </c>
    </row>
    <row r="5">
      <c r="B5" s="3" t="inlineStr">
        <is>
          <t>Contact (name, email / phone)</t>
        </is>
      </c>
      <c r="D5" s="4" t="inlineStr"/>
      <c r="H5" s="5" t="inlineStr">
        <is>
          <t>Quote the pack size you sell (e.g. a 50-pack of screws) in 'Pack / qty offered' and its price in 'Price (USD)'.</t>
        </is>
      </c>
    </row>
    <row r="6">
      <c r="B6" s="3" t="inlineStr">
        <is>
          <t>Deliver to</t>
        </is>
      </c>
      <c r="D6" s="4" t="inlineStr">
        <is>
          <t>Zambia</t>
        </is>
      </c>
      <c r="H6" s="5" t="inlineStr">
        <is>
          <t>Photos are for identification only. * = the photo shows a similar item; the specification is what counts.</t>
        </is>
      </c>
    </row>
    <row r="7">
      <c r="B7" s="3" t="inlineStr">
        <is>
          <t>Please reply by</t>
        </is>
      </c>
      <c r="D7" s="4" t="inlineStr"/>
      <c r="H7" s="5" t="inlineStr">
        <is>
          <t>An M2/M3 screw, nut and insert assortment kit covering the hardware section is also welcome: please quote it separately.</t>
        </is>
      </c>
    </row>
    <row r="9" ht="32" customHeight="1">
      <c r="A9" s="6" t="inlineStr">
        <is>
          <t>#</t>
        </is>
      </c>
      <c r="B9" s="6" t="inlineStr">
        <is>
          <t>Photo</t>
        </is>
      </c>
      <c r="C9" s="6" t="inlineStr">
        <is>
          <t>Item</t>
        </is>
      </c>
      <c r="D9" s="6" t="inlineStr">
        <is>
          <t>Specification</t>
        </is>
      </c>
      <c r="E9" s="6" t="inlineStr">
        <is>
          <t>Qty</t>
        </is>
      </c>
      <c r="F9" s="6" t="inlineStr">
        <is>
          <t>Unit</t>
        </is>
      </c>
      <c r="G9" s="6" t="inlineStr">
        <is>
          <t>Usual pack</t>
        </is>
      </c>
      <c r="H9" s="6" t="inlineStr">
        <is>
          <t>Notes</t>
        </is>
      </c>
      <c r="I9" s="7" t="inlineStr">
        <is>
          <t>Available? (Y / N / partly)</t>
        </is>
      </c>
      <c r="J9" s="7" t="inlineStr">
        <is>
          <t>Pack / qty offered</t>
        </is>
      </c>
      <c r="K9" s="7" t="inlineStr">
        <is>
          <t>Price (USD)</t>
        </is>
      </c>
      <c r="L9" s="7" t="inlineStr">
        <is>
          <t>Lead time (days)</t>
        </is>
      </c>
      <c r="M9" s="7" t="inlineStr">
        <is>
          <t>Your part no. / link</t>
        </is>
      </c>
      <c r="N9" s="7" t="inlineStr">
        <is>
          <t>Comments</t>
        </is>
      </c>
    </row>
    <row r="10">
      <c r="A10" s="8" t="inlineStr">
        <is>
          <t>Motors, sensors and servos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74" customHeight="1">
      <c r="A11" s="10" t="n">
        <v>1</v>
      </c>
      <c r="B11" s="11" t="n"/>
      <c r="C11" s="12" t="inlineStr">
        <is>
          <t>Motor pair with encoders</t>
        </is>
      </c>
      <c r="D11" s="11" t="inlineStr">
        <is>
          <t>SparkFun ROB-24053 'Hobby Motor with Encoder - Plastic Gear (Pair, Red)': 2 motors, 1:48 gearbox, 585 counts per wheel turn, two 6-pin cables included</t>
        </is>
      </c>
      <c r="E11" s="13" t="n">
        <v>2</v>
      </c>
      <c r="F11" s="10" t="inlineStr">
        <is>
          <t>pair</t>
        </is>
      </c>
      <c r="G11" s="11" t="inlineStr">
        <is>
          <t>pair</t>
        </is>
      </c>
      <c r="H11" s="11" t="inlineStr">
        <is>
          <t>This exact motor, please: our chassis is built around it, so generic TT motors don't fit. Please confirm stock.</t>
        </is>
      </c>
      <c r="I11" s="14" t="n"/>
      <c r="J11" s="14" t="n"/>
      <c r="K11" s="15" t="n"/>
      <c r="L11" s="14" t="n"/>
      <c r="M11" s="14" t="n"/>
      <c r="N11" s="14" t="n"/>
    </row>
    <row r="12" ht="74" customHeight="1">
      <c r="A12" s="10" t="n">
        <v>2</v>
      </c>
      <c r="B12" s="11" t="n"/>
      <c r="C12" s="12" t="inlineStr">
        <is>
          <t>Ultrasonic distance sensor, 3.3 V</t>
        </is>
      </c>
      <c r="D12" s="11" t="inlineStr">
        <is>
          <t>HC-SR04P (3-5.5 V) or RCWL-1601. Board 45 x 20 mm, Ø16 mm transducers 26 mm apart, 4-pin header VCC / TRIG / ECHO / GND</t>
        </is>
      </c>
      <c r="E12" s="13" t="n">
        <v>3</v>
      </c>
      <c r="F12" s="10" t="inlineStr">
        <is>
          <t>pcs</t>
        </is>
      </c>
      <c r="G12" s="11" t="inlineStr">
        <is>
          <t>1</t>
        </is>
      </c>
      <c r="H12" s="11" t="inlineStr">
        <is>
          <t>Must work from 3.3 V: the classic 5 V-only HC-SR04 is not suitable.</t>
        </is>
      </c>
      <c r="I12" s="14" t="n"/>
      <c r="J12" s="14" t="n"/>
      <c r="K12" s="15" t="n"/>
      <c r="L12" s="14" t="n"/>
      <c r="M12" s="14" t="n"/>
      <c r="N12" s="14" t="n"/>
    </row>
    <row r="13" ht="74" customHeight="1">
      <c r="A13" s="10" t="n">
        <v>3</v>
      </c>
      <c r="B13" s="11" t="n"/>
      <c r="C13" s="12" t="inlineStr">
        <is>
          <t>Line-tracking sensor, 3-channel *</t>
        </is>
      </c>
      <c r="D13" s="11" t="inlineStr">
        <is>
          <t>3-channel TCRT5000 line-tracking module with ANALOG outputs. Pins VCC, GND, L, C, R. About 60 x 24 mm</t>
        </is>
      </c>
      <c r="E13" s="13" t="n">
        <v>3</v>
      </c>
      <c r="F13" s="10" t="inlineStr">
        <is>
          <t>pcs</t>
        </is>
      </c>
      <c r="G13" s="11" t="inlineStr">
        <is>
          <t>1</t>
        </is>
      </c>
      <c r="H13" s="11" t="inlineStr">
        <is>
          <t>Analog outputs required: digital-only modules (LM339 comparator outputs) are not suitable. Please state the board size.</t>
        </is>
      </c>
      <c r="I13" s="14" t="n"/>
      <c r="J13" s="14" t="n"/>
      <c r="K13" s="15" t="n"/>
      <c r="L13" s="14" t="n"/>
      <c r="M13" s="14" t="n"/>
      <c r="N13" s="14" t="n"/>
    </row>
    <row r="14" ht="74" customHeight="1">
      <c r="A14" s="10" t="n">
        <v>4</v>
      </c>
      <c r="B14" s="11" t="n"/>
      <c r="C14" s="12" t="inlineStr">
        <is>
          <t>Micro servo, metal gear *</t>
        </is>
      </c>
      <c r="D14" s="11" t="inlineStr">
        <is>
          <t>MG90S, with horns and screws (one for the shoulder, one for the gripper of each robot)</t>
        </is>
      </c>
      <c r="E14" s="13" t="n">
        <v>6</v>
      </c>
      <c r="F14" s="10" t="inlineStr">
        <is>
          <t>pcs</t>
        </is>
      </c>
      <c r="G14" s="11" t="inlineStr">
        <is>
          <t>1</t>
        </is>
      </c>
      <c r="H14" s="11" t="inlineStr">
        <is>
          <t>Metal gears. Please supply a consistent, good-quality batch; we test every unit on arrival.</t>
        </is>
      </c>
      <c r="I14" s="14" t="n"/>
      <c r="J14" s="14" t="n"/>
      <c r="K14" s="15" t="n"/>
      <c r="L14" s="14" t="n"/>
      <c r="M14" s="14" t="n"/>
      <c r="N14" s="14" t="n"/>
    </row>
    <row r="15">
      <c r="A15" s="8" t="inlineStr">
        <is>
          <t>Battery and power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 ht="74" customHeight="1">
      <c r="A16" s="10" t="n">
        <v>5</v>
      </c>
      <c r="B16" s="11" t="n"/>
      <c r="C16" s="12" t="inlineStr">
        <is>
          <t>18650 Li-ion cell</t>
        </is>
      </c>
      <c r="D16" s="11" t="inlineStr">
        <is>
          <t>Genuine branded cell (Samsung, LG, Molicel, EVE or similar), about 3000 mAh, 65 mm long, unprotected</t>
        </is>
      </c>
      <c r="E16" s="13" t="n">
        <v>6</v>
      </c>
      <c r="F16" s="10" t="inlineStr">
        <is>
          <t>pcs</t>
        </is>
      </c>
      <c r="G16" s="11" t="inlineStr">
        <is>
          <t>1</t>
        </is>
      </c>
      <c r="H16" s="11" t="inlineStr">
        <is>
          <t>All cells the same model and batch. Protected cells (about 70 mm long) don't fit. Please state brand and model.</t>
        </is>
      </c>
      <c r="I16" s="14" t="n"/>
      <c r="J16" s="14" t="n"/>
      <c r="K16" s="15" t="n"/>
      <c r="L16" s="14" t="n"/>
      <c r="M16" s="14" t="n"/>
      <c r="N16" s="14" t="n"/>
    </row>
    <row r="17" ht="74" customHeight="1">
      <c r="A17" s="10" t="n">
        <v>6</v>
      </c>
      <c r="B17" s="11" t="n"/>
      <c r="C17" s="12" t="inlineStr">
        <is>
          <t>Battery holder, 3 x 18650 *</t>
        </is>
      </c>
      <c r="D17" s="11" t="inlineStr">
        <is>
          <t>3-cell 18650 holder with wire leads, about 61.6 x 78.4 mm</t>
        </is>
      </c>
      <c r="E17" s="13" t="n">
        <v>2</v>
      </c>
      <c r="F17" s="10" t="inlineStr">
        <is>
          <t>pcs</t>
        </is>
      </c>
      <c r="G17" s="11" t="inlineStr">
        <is>
          <t>1</t>
        </is>
      </c>
      <c r="H17" s="11" t="inlineStr">
        <is>
          <t>We need the cells in PARALLEL (3.7 V out). Please state whether the holder is wired in series or parallel.</t>
        </is>
      </c>
      <c r="I17" s="14" t="n"/>
      <c r="J17" s="14" t="n"/>
      <c r="K17" s="15" t="n"/>
      <c r="L17" s="14" t="n"/>
      <c r="M17" s="14" t="n"/>
      <c r="N17" s="14" t="n"/>
    </row>
    <row r="18" ht="74" customHeight="1">
      <c r="A18" s="10" t="n">
        <v>7</v>
      </c>
      <c r="B18" s="11" t="n"/>
      <c r="C18" s="12" t="inlineStr">
        <is>
          <t>XT30 battery lead, female *</t>
        </is>
      </c>
      <c r="D18" s="11" t="inlineStr">
        <is>
          <t>AMASS XT30U-F (female) with 10-15 cm of 16 AWG silicone wire</t>
        </is>
      </c>
      <c r="E18" s="13" t="n">
        <v>3</v>
      </c>
      <c r="F18" s="10" t="inlineStr">
        <is>
          <t>pcs</t>
        </is>
      </c>
      <c r="G18" s="11" t="inlineStr">
        <is>
          <t>5</t>
        </is>
      </c>
      <c r="H18" s="11" t="inlineStr">
        <is>
          <t>Female plug, which mates with an XT30 male (XT30UPB-M on our board).</t>
        </is>
      </c>
      <c r="I18" s="14" t="n"/>
      <c r="J18" s="14" t="n"/>
      <c r="K18" s="15" t="n"/>
      <c r="L18" s="14" t="n"/>
      <c r="M18" s="14" t="n"/>
      <c r="N18" s="14" t="n"/>
    </row>
    <row r="19">
      <c r="A19" s="8" t="inlineStr">
        <is>
          <t>Cables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 ht="74" customHeight="1">
      <c r="A20" s="10" t="n">
        <v>8</v>
      </c>
      <c r="B20" s="11" t="n"/>
      <c r="C20" s="12" t="inlineStr">
        <is>
          <t>Dupont jumper wires, female-female</t>
        </is>
      </c>
      <c r="D20" s="11" t="inlineStr">
        <is>
          <t>2.54 mm, female-female, 20 cm</t>
        </is>
      </c>
      <c r="E20" s="13" t="n">
        <v>18</v>
      </c>
      <c r="F20" s="10" t="inlineStr">
        <is>
          <t>pcs</t>
        </is>
      </c>
      <c r="G20" s="11" t="inlineStr">
        <is>
          <t>40-wire strip</t>
        </is>
      </c>
      <c r="H20" s="11" t="inlineStr"/>
      <c r="I20" s="14" t="n"/>
      <c r="J20" s="14" t="n"/>
      <c r="K20" s="15" t="n"/>
      <c r="L20" s="14" t="n"/>
      <c r="M20" s="14" t="n"/>
      <c r="N20" s="14" t="n"/>
    </row>
    <row r="21">
      <c r="A21" s="8" t="inlineStr">
        <is>
          <t>Screws, inserts and small hardware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 ht="74" customHeight="1">
      <c r="A22" s="10" t="n">
        <v>9</v>
      </c>
      <c r="B22" s="11" t="n"/>
      <c r="C22" s="12" t="inlineStr">
        <is>
          <t>Heat-set insert, M2 (brass) *</t>
        </is>
      </c>
      <c r="D22" s="11" t="inlineStr">
        <is>
          <t>M2 brass heat-set insert for Ø3.2 mm holes, e.g. M2 x 3 mm long, 3.2 mm OD</t>
        </is>
      </c>
      <c r="E22" s="13" t="n">
        <v>12</v>
      </c>
      <c r="F22" s="10" t="inlineStr">
        <is>
          <t>pcs</t>
        </is>
      </c>
      <c r="G22" s="11" t="inlineStr">
        <is>
          <t>50-100</t>
        </is>
      </c>
      <c r="H22" s="11" t="inlineStr"/>
      <c r="I22" s="14" t="n"/>
      <c r="J22" s="14" t="n"/>
      <c r="K22" s="15" t="n"/>
      <c r="L22" s="14" t="n"/>
      <c r="M22" s="14" t="n"/>
      <c r="N22" s="14" t="n"/>
    </row>
    <row r="23" ht="74" customHeight="1">
      <c r="A23" s="10" t="n">
        <v>10</v>
      </c>
      <c r="B23" s="11" t="n"/>
      <c r="C23" s="12" t="inlineStr">
        <is>
          <t>Heat-set insert, M3 short (brass)</t>
        </is>
      </c>
      <c r="D23" s="11" t="inlineStr">
        <is>
          <t>M3 brass heat-set insert for Ø4.0 mm holes, e.g. M3 x 4 mm long, 4.0 mm OD</t>
        </is>
      </c>
      <c r="E23" s="13" t="n">
        <v>16</v>
      </c>
      <c r="F23" s="10" t="inlineStr">
        <is>
          <t>pcs</t>
        </is>
      </c>
      <c r="G23" s="11" t="inlineStr">
        <is>
          <t>50-100</t>
        </is>
      </c>
      <c r="H23" s="11" t="inlineStr"/>
      <c r="I23" s="14" t="n"/>
      <c r="J23" s="14" t="n"/>
      <c r="K23" s="15" t="n"/>
      <c r="L23" s="14" t="n"/>
      <c r="M23" s="14" t="n"/>
      <c r="N23" s="14" t="n"/>
    </row>
    <row r="24" ht="74" customHeight="1">
      <c r="A24" s="10" t="n">
        <v>11</v>
      </c>
      <c r="B24" s="11" t="n"/>
      <c r="C24" s="12" t="inlineStr">
        <is>
          <t>Machine screw M2 x 6, pan head</t>
        </is>
      </c>
      <c r="D24" s="11" t="inlineStr">
        <is>
          <t>M2 x 6 mm pan head machine screw, steel</t>
        </is>
      </c>
      <c r="E24" s="13" t="n">
        <v>12</v>
      </c>
      <c r="F24" s="10" t="inlineStr">
        <is>
          <t>pcs</t>
        </is>
      </c>
      <c r="G24" s="11" t="inlineStr">
        <is>
          <t>50</t>
        </is>
      </c>
      <c r="H24" s="11" t="inlineStr"/>
      <c r="I24" s="14" t="n"/>
      <c r="J24" s="14" t="n"/>
      <c r="K24" s="15" t="n"/>
      <c r="L24" s="14" t="n"/>
      <c r="M24" s="14" t="n"/>
      <c r="N24" s="14" t="n"/>
    </row>
    <row r="25" ht="74" customHeight="1">
      <c r="A25" s="10" t="n">
        <v>12</v>
      </c>
      <c r="B25" s="11" t="n"/>
      <c r="C25" s="12" t="inlineStr">
        <is>
          <t>Self-tapping screw M2 x 6, pan head</t>
        </is>
      </c>
      <c r="D25" s="11" t="inlineStr">
        <is>
          <t>M2 x 6 mm pan head self-tapping screw (for plastic)</t>
        </is>
      </c>
      <c r="E25" s="13" t="n">
        <v>6</v>
      </c>
      <c r="F25" s="10" t="inlineStr">
        <is>
          <t>pcs</t>
        </is>
      </c>
      <c r="G25" s="11" t="inlineStr">
        <is>
          <t>50</t>
        </is>
      </c>
      <c r="H25" s="11" t="inlineStr"/>
      <c r="I25" s="14" t="n"/>
      <c r="J25" s="14" t="n"/>
      <c r="K25" s="15" t="n"/>
      <c r="L25" s="14" t="n"/>
      <c r="M25" s="14" t="n"/>
      <c r="N25" s="14" t="n"/>
    </row>
    <row r="26" ht="74" customHeight="1">
      <c r="A26" s="10" t="n">
        <v>13</v>
      </c>
      <c r="B26" s="11" t="n"/>
      <c r="C26" s="12" t="inlineStr">
        <is>
          <t>Flat washer M2</t>
        </is>
      </c>
      <c r="D26" s="11" t="inlineStr">
        <is>
          <t>M2 flat washer, steel</t>
        </is>
      </c>
      <c r="E26" s="13" t="n">
        <v>6</v>
      </c>
      <c r="F26" s="10" t="inlineStr">
        <is>
          <t>pcs</t>
        </is>
      </c>
      <c r="G26" s="11" t="inlineStr">
        <is>
          <t>100</t>
        </is>
      </c>
      <c r="H26" s="11" t="inlineStr"/>
      <c r="I26" s="14" t="n"/>
      <c r="J26" s="14" t="n"/>
      <c r="K26" s="15" t="n"/>
      <c r="L26" s="14" t="n"/>
      <c r="M26" s="14" t="n"/>
      <c r="N26" s="14" t="n"/>
    </row>
    <row r="27" ht="74" customHeight="1">
      <c r="A27" s="10" t="n">
        <v>14</v>
      </c>
      <c r="B27" s="11" t="n"/>
      <c r="C27" s="12" t="inlineStr">
        <is>
          <t>Machine screw M2 x 8, pan head</t>
        </is>
      </c>
      <c r="D27" s="11" t="inlineStr">
        <is>
          <t>M2 x 8 mm pan head machine screw, steel</t>
        </is>
      </c>
      <c r="E27" s="13" t="n">
        <v>3</v>
      </c>
      <c r="F27" s="10" t="inlineStr">
        <is>
          <t>pcs</t>
        </is>
      </c>
      <c r="G27" s="11" t="inlineStr">
        <is>
          <t>50</t>
        </is>
      </c>
      <c r="H27" s="11" t="inlineStr"/>
      <c r="I27" s="14" t="n"/>
      <c r="J27" s="14" t="n"/>
      <c r="K27" s="15" t="n"/>
      <c r="L27" s="14" t="n"/>
      <c r="M27" s="14" t="n"/>
      <c r="N27" s="14" t="n"/>
    </row>
    <row r="28" ht="74" customHeight="1">
      <c r="A28" s="10" t="n">
        <v>15</v>
      </c>
      <c r="B28" s="11" t="n"/>
      <c r="C28" s="12" t="inlineStr">
        <is>
          <t>Screw M2 x 5, pan head</t>
        </is>
      </c>
      <c r="D28" s="11" t="inlineStr">
        <is>
          <t>M2 x 5 mm pan head screw, steel</t>
        </is>
      </c>
      <c r="E28" s="13" t="n">
        <v>6</v>
      </c>
      <c r="F28" s="10" t="inlineStr">
        <is>
          <t>pcs</t>
        </is>
      </c>
      <c r="G28" s="11" t="inlineStr">
        <is>
          <t>50</t>
        </is>
      </c>
      <c r="H28" s="11" t="inlineStr"/>
      <c r="I28" s="14" t="n"/>
      <c r="J28" s="14" t="n"/>
      <c r="K28" s="15" t="n"/>
      <c r="L28" s="14" t="n"/>
      <c r="M28" s="14" t="n"/>
      <c r="N28" s="14" t="n"/>
    </row>
    <row r="29" ht="74" customHeight="1">
      <c r="A29" s="10" t="n">
        <v>16</v>
      </c>
      <c r="B29" s="11" t="n"/>
      <c r="C29" s="12" t="inlineStr">
        <is>
          <t>Screw M2 x 4, pan head</t>
        </is>
      </c>
      <c r="D29" s="11" t="inlineStr">
        <is>
          <t>M2 x 4 mm pan head screw, steel</t>
        </is>
      </c>
      <c r="E29" s="13" t="n">
        <v>8</v>
      </c>
      <c r="F29" s="10" t="inlineStr">
        <is>
          <t>pcs</t>
        </is>
      </c>
      <c r="G29" s="11" t="inlineStr">
        <is>
          <t>50</t>
        </is>
      </c>
      <c r="H29" s="11" t="inlineStr"/>
      <c r="I29" s="14" t="n"/>
      <c r="J29" s="14" t="n"/>
      <c r="K29" s="15" t="n"/>
      <c r="L29" s="14" t="n"/>
      <c r="M29" s="14" t="n"/>
      <c r="N29" s="14" t="n"/>
    </row>
    <row r="30" ht="74" customHeight="1">
      <c r="A30" s="10" t="n">
        <v>17</v>
      </c>
      <c r="B30" s="11" t="n"/>
      <c r="C30" s="12" t="inlineStr">
        <is>
          <t>Socket head cap screw M3 x 10</t>
        </is>
      </c>
      <c r="D30" s="11" t="inlineStr">
        <is>
          <t>M3 x 10 mm hex socket head cap screw, steel</t>
        </is>
      </c>
      <c r="E30" s="13" t="n">
        <v>6</v>
      </c>
      <c r="F30" s="10" t="inlineStr">
        <is>
          <t>pcs</t>
        </is>
      </c>
      <c r="G30" s="11" t="inlineStr">
        <is>
          <t>50</t>
        </is>
      </c>
      <c r="H30" s="11" t="inlineStr"/>
      <c r="I30" s="14" t="n"/>
      <c r="J30" s="14" t="n"/>
      <c r="K30" s="15" t="n"/>
      <c r="L30" s="14" t="n"/>
      <c r="M30" s="14" t="n"/>
      <c r="N30" s="14" t="n"/>
    </row>
    <row r="31" ht="74" customHeight="1">
      <c r="A31" s="10" t="n">
        <v>18</v>
      </c>
      <c r="B31" s="11" t="n"/>
      <c r="C31" s="12" t="inlineStr">
        <is>
          <t>Self-tapping screw M3 x 8, pan head</t>
        </is>
      </c>
      <c r="D31" s="11" t="inlineStr">
        <is>
          <t>M3 x 8 mm pan head self-tapping screw (for plastic)</t>
        </is>
      </c>
      <c r="E31" s="13" t="n">
        <v>3</v>
      </c>
      <c r="F31" s="10" t="inlineStr">
        <is>
          <t>pcs</t>
        </is>
      </c>
      <c r="G31" s="11" t="inlineStr">
        <is>
          <t>50</t>
        </is>
      </c>
      <c r="H31" s="11" t="inlineStr"/>
      <c r="I31" s="14" t="n"/>
      <c r="J31" s="14" t="n"/>
      <c r="K31" s="15" t="n"/>
      <c r="L31" s="14" t="n"/>
      <c r="M31" s="14" t="n"/>
      <c r="N31" s="14" t="n"/>
    </row>
    <row r="32" ht="74" customHeight="1">
      <c r="A32" s="10" t="n">
        <v>19</v>
      </c>
      <c r="B32" s="11" t="n"/>
      <c r="C32" s="12" t="inlineStr">
        <is>
          <t>Thumb screw M3 x 8, knurled head *</t>
        </is>
      </c>
      <c r="D32" s="11" t="inlineStr">
        <is>
          <t>M3 x 8 mm thumb screw with knurled head</t>
        </is>
      </c>
      <c r="E32" s="13" t="n">
        <v>7</v>
      </c>
      <c r="F32" s="10" t="inlineStr">
        <is>
          <t>pcs</t>
        </is>
      </c>
      <c r="G32" s="11" t="inlineStr">
        <is>
          <t>20</t>
        </is>
      </c>
      <c r="H32" s="11" t="inlineStr"/>
      <c r="I32" s="14" t="n"/>
      <c r="J32" s="14" t="n"/>
      <c r="K32" s="15" t="n"/>
      <c r="L32" s="14" t="n"/>
      <c r="M32" s="14" t="n"/>
      <c r="N32" s="14" t="n"/>
    </row>
    <row r="33" ht="74" customHeight="1">
      <c r="A33" s="10" t="n">
        <v>20</v>
      </c>
      <c r="B33" s="11" t="n"/>
      <c r="C33" s="12" t="inlineStr">
        <is>
          <t>Hex nut M8</t>
        </is>
      </c>
      <c r="D33" s="11" t="inlineStr">
        <is>
          <t>M8 hex nut, plain steel (about 5 g each)</t>
        </is>
      </c>
      <c r="E33" s="13" t="n">
        <v>12</v>
      </c>
      <c r="F33" s="10" t="inlineStr">
        <is>
          <t>pcs</t>
        </is>
      </c>
      <c r="G33" s="11" t="inlineStr">
        <is>
          <t>1</t>
        </is>
      </c>
      <c r="H33" s="11" t="inlineStr"/>
      <c r="I33" s="14" t="n"/>
      <c r="J33" s="14" t="n"/>
      <c r="K33" s="15" t="n"/>
      <c r="L33" s="14" t="n"/>
      <c r="M33" s="14" t="n"/>
      <c r="N33" s="14" t="n"/>
    </row>
    <row r="34" ht="74" customHeight="1">
      <c r="A34" s="10" t="n">
        <v>21</v>
      </c>
      <c r="B34" s="11" t="n"/>
      <c r="C34" s="12" t="inlineStr">
        <is>
          <t>Steel ball ½" (12.7 mm)</t>
        </is>
      </c>
      <c r="D34" s="11" t="inlineStr">
        <is>
          <t>12.7 mm (½") steel bearing ball</t>
        </is>
      </c>
      <c r="E34" s="13" t="n">
        <v>6</v>
      </c>
      <c r="F34" s="10" t="inlineStr">
        <is>
          <t>pcs</t>
        </is>
      </c>
      <c r="G34" s="11" t="inlineStr">
        <is>
          <t>20</t>
        </is>
      </c>
      <c r="H34" s="11" t="inlineStr">
        <is>
          <t>12.7 mm glass marbles are also acceptable.</t>
        </is>
      </c>
      <c r="I34" s="14" t="n"/>
      <c r="J34" s="14" t="n"/>
      <c r="K34" s="15" t="n"/>
      <c r="L34" s="14" t="n"/>
      <c r="M34" s="14" t="n"/>
      <c r="N34" s="14" t="n"/>
    </row>
    <row r="35">
      <c r="A35" s="8" t="inlineStr">
        <is>
          <t>3D-printing filament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 ht="74" customHeight="1">
      <c r="A36" s="10" t="n">
        <v>22</v>
      </c>
      <c r="B36" s="11" t="n"/>
      <c r="C36" s="12" t="inlineStr">
        <is>
          <t>PETG filament, yellow</t>
        </is>
      </c>
      <c r="D36" s="11" t="inlineStr">
        <is>
          <t>PETG 3D-printer filament, 1.75 mm, yellow</t>
        </is>
      </c>
      <c r="E36" s="13" t="n">
        <v>1</v>
      </c>
      <c r="F36" s="10" t="inlineStr">
        <is>
          <t>spool</t>
        </is>
      </c>
      <c r="G36" s="11" t="inlineStr">
        <is>
          <t>1 kg spool</t>
        </is>
      </c>
      <c r="H36" s="11" t="inlineStr">
        <is>
          <t>About 370 g needed.</t>
        </is>
      </c>
      <c r="I36" s="14" t="n"/>
      <c r="J36" s="14" t="n"/>
      <c r="K36" s="15" t="n"/>
      <c r="L36" s="14" t="n"/>
      <c r="M36" s="14" t="n"/>
      <c r="N36" s="14" t="n"/>
    </row>
    <row r="37" ht="74" customHeight="1">
      <c r="A37" s="10" t="n">
        <v>23</v>
      </c>
      <c r="B37" s="11" t="n"/>
      <c r="C37" s="12" t="inlineStr">
        <is>
          <t>PETG filament, black</t>
        </is>
      </c>
      <c r="D37" s="11" t="inlineStr">
        <is>
          <t>PETG 3D-printer filament, 1.75 mm, black</t>
        </is>
      </c>
      <c r="E37" s="13" t="n">
        <v>1</v>
      </c>
      <c r="F37" s="10" t="inlineStr">
        <is>
          <t>spool</t>
        </is>
      </c>
      <c r="G37" s="11" t="inlineStr">
        <is>
          <t>1 kg spool</t>
        </is>
      </c>
      <c r="H37" s="11" t="inlineStr">
        <is>
          <t>About 41 g needed.</t>
        </is>
      </c>
      <c r="I37" s="14" t="n"/>
      <c r="J37" s="14" t="n"/>
      <c r="K37" s="15" t="n"/>
      <c r="L37" s="14" t="n"/>
      <c r="M37" s="14" t="n"/>
      <c r="N37" s="14" t="n"/>
    </row>
    <row r="38" ht="74" customHeight="1">
      <c r="A38" s="10" t="n">
        <v>24</v>
      </c>
      <c r="B38" s="11" t="n"/>
      <c r="C38" s="12" t="inlineStr">
        <is>
          <t>PETG filament, dark teal</t>
        </is>
      </c>
      <c r="D38" s="11" t="inlineStr">
        <is>
          <t>PETG 3D-printer filament, 1.75 mm, dark teal</t>
        </is>
      </c>
      <c r="E38" s="13" t="n">
        <v>1</v>
      </c>
      <c r="F38" s="10" t="inlineStr">
        <is>
          <t>spool</t>
        </is>
      </c>
      <c r="G38" s="11" t="inlineStr">
        <is>
          <t>1 kg spool</t>
        </is>
      </c>
      <c r="H38" s="11" t="inlineStr">
        <is>
          <t>About 36 g needed.</t>
        </is>
      </c>
      <c r="I38" s="14" t="n"/>
      <c r="J38" s="14" t="n"/>
      <c r="K38" s="15" t="n"/>
      <c r="L38" s="14" t="n"/>
      <c r="M38" s="14" t="n"/>
      <c r="N38" s="14" t="n"/>
    </row>
    <row r="39" ht="74" customHeight="1">
      <c r="A39" s="10" t="n">
        <v>25</v>
      </c>
      <c r="B39" s="11" t="n"/>
      <c r="C39" s="12" t="inlineStr">
        <is>
          <t>TPU filament, black</t>
        </is>
      </c>
      <c r="D39" s="11" t="inlineStr">
        <is>
          <t>TPU 95A flexible filament, 1.75 mm, black</t>
        </is>
      </c>
      <c r="E39" s="13" t="n">
        <v>1</v>
      </c>
      <c r="F39" s="10" t="inlineStr">
        <is>
          <t>spool</t>
        </is>
      </c>
      <c r="G39" s="11" t="inlineStr">
        <is>
          <t>250 g-1 kg spool</t>
        </is>
      </c>
      <c r="H39" s="11" t="inlineStr">
        <is>
          <t>About 21 g needed. A small spool is enough.</t>
        </is>
      </c>
      <c r="I39" s="14" t="n"/>
      <c r="J39" s="14" t="n"/>
      <c r="K39" s="15" t="n"/>
      <c r="L39" s="14" t="n"/>
      <c r="M39" s="14" t="n"/>
      <c r="N39" s="14" t="n"/>
    </row>
    <row r="41">
      <c r="H41" s="16" t="inlineStr">
        <is>
          <t>Total for the items quoted</t>
        </is>
      </c>
      <c r="K41" s="17">
        <f>SUM(K10:K39)</f>
        <v/>
      </c>
    </row>
    <row r="42">
      <c r="H42" s="16" t="inlineStr">
        <is>
          <t>Shipping to Zambia (USD)</t>
        </is>
      </c>
      <c r="K42" s="18" t="n"/>
    </row>
    <row r="43">
      <c r="H43" s="16" t="inlineStr">
        <is>
          <t>Grand total (USD)</t>
        </is>
      </c>
      <c r="K43" s="17">
        <f>K41+K42</f>
        <v/>
      </c>
    </row>
    <row r="45">
      <c r="A45" s="19" t="inlineStr">
        <is>
          <t>Prices in USD. Please state any minimum order, payment terms and the shipping method.</t>
        </is>
      </c>
    </row>
  </sheetData>
  <mergeCells count="4">
    <mergeCell ref="B6:C6"/>
    <mergeCell ref="B5:C5"/>
    <mergeCell ref="B4:C4"/>
    <mergeCell ref="B7:C7"/>
  </mergeCells>
  <dataValidations count="1">
    <dataValidation sqref="I11 I12 I13 I14 I16 I17 I18 I20 I22 I23 I24 I25 I26 I27 I28 I29 I30 I31 I32 I33 I34 I36 I37 I38 I39" showDropDown="0" showInputMessage="0" showErrorMessage="0" allowBlank="1" type="list">
      <formula1>"Y,N,Partly"</formula1>
    </dataValidation>
  </dataValidation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2026-10-12T12:06:23Z</dcterms:created>
  <dcterms:modified xmlns:dcterms="http://purl.org/dc/terms/" xmlns:xsi="http://www.w3.org/2001/XMLSchema-instance" xsi:type="dcterms:W3CDTF">2026-10-12T12:06:23Z</dcterms:modified>
</cp:coreProperties>
</file>