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onent list" sheetId="1" state="visible" r:id="rId1"/>
    <sheet xmlns:r="http://schemas.openxmlformats.org/officeDocument/2006/relationships" name="Printed parts" sheetId="2" state="visible" r:id="rId2"/>
    <sheet xmlns:r="http://schemas.openxmlformats.org/officeDocument/2006/relationships" name="Notes" sheetId="3" state="visible" r:id="rId3"/>
  </sheets>
  <definedNames>
    <definedName name="_xlnm._FilterDatabase" localSheetId="0" hidden="1">'Component list'!$A$7:$R$47</definedName>
    <definedName name="_xlnm.Print_Titles" localSheetId="0">'Component list'!$7:$7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-#,##0;&quot;-&quot;"/>
    <numFmt numFmtId="165" formatCode="$#,##0.00;($#,##0.00);&quot;-&quot;"/>
    <numFmt numFmtId="166" formatCode="0.0"/>
  </numFmts>
  <fonts count="10">
    <font>
      <name val="Calibri"/>
      <family val="2"/>
      <color theme="1"/>
      <sz val="11"/>
      <scheme val="minor"/>
    </font>
    <font>
      <name val="Arial"/>
      <b val="1"/>
      <color rgb="00000000"/>
      <sz val="14"/>
    </font>
    <font>
      <name val="Arial"/>
      <i val="1"/>
      <color rgb="00555555"/>
      <sz val="10"/>
    </font>
    <font>
      <name val="Arial"/>
      <color rgb="00008000"/>
      <sz val="10"/>
    </font>
    <font>
      <name val="Arial"/>
      <color rgb="000000FF"/>
      <sz val="10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000000"/>
      <sz val="12"/>
    </font>
    <font>
      <name val="Arial"/>
      <b val="1"/>
      <color rgb="000000FF"/>
      <sz val="10"/>
    </font>
  </fonts>
  <fills count="6">
    <fill>
      <patternFill/>
    </fill>
    <fill>
      <patternFill patternType="gray125"/>
    </fill>
    <fill>
      <patternFill patternType="solid">
        <fgColor rgb="00FFF2B3"/>
      </patternFill>
    </fill>
    <fill>
      <patternFill patternType="solid">
        <fgColor rgb="001F2A44"/>
      </patternFill>
    </fill>
    <fill>
      <patternFill patternType="solid">
        <fgColor rgb="00E4E8F0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C8CCD4"/>
      </left>
      <right style="thin">
        <color rgb="00C8CCD4"/>
      </right>
      <top style="thin">
        <color rgb="00C8CCD4"/>
      </top>
      <bottom style="thin">
        <color rgb="00C8CCD4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9" fillId="2" borderId="1" pivotButton="0" quotePrefix="0" xfId="0"/>
    <xf numFmtId="9" fontId="9" fillId="2" borderId="1" pivotButton="0" quotePrefix="0" xfId="0"/>
    <xf numFmtId="0" fontId="6" fillId="3" borderId="1" applyAlignment="1" pivotButton="0" quotePrefix="0" xfId="0">
      <alignment vertical="center" wrapText="1"/>
    </xf>
    <xf numFmtId="0" fontId="5" fillId="4" borderId="1" pivotButton="0" quotePrefix="0" xfId="0"/>
    <xf numFmtId="0" fontId="0" fillId="4" borderId="1" pivotButton="0" quotePrefix="0" xfId="0"/>
    <xf numFmtId="0" fontId="7" fillId="0" borderId="1" applyAlignment="1" pivotButton="0" quotePrefix="0" xfId="0">
      <alignment vertical="top"/>
    </xf>
    <xf numFmtId="0" fontId="7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/>
    </xf>
    <xf numFmtId="164" fontId="7" fillId="0" borderId="1" applyAlignment="1" pivotButton="0" quotePrefix="0" xfId="0">
      <alignment vertical="top"/>
    </xf>
    <xf numFmtId="165" fontId="4" fillId="0" borderId="1" applyAlignment="1" pivotButton="0" quotePrefix="0" xfId="0">
      <alignment vertical="top"/>
    </xf>
    <xf numFmtId="165" fontId="7" fillId="0" borderId="1" applyAlignment="1" pivotButton="0" quotePrefix="0" xfId="0">
      <alignment vertical="top"/>
    </xf>
    <xf numFmtId="0" fontId="4" fillId="0" borderId="1" applyAlignment="1" pivotButton="0" quotePrefix="0" xfId="0">
      <alignment vertical="top"/>
    </xf>
    <xf numFmtId="165" fontId="7" fillId="5" borderId="1" applyAlignment="1" pivotButton="0" quotePrefix="0" xfId="0">
      <alignment vertical="top"/>
    </xf>
    <xf numFmtId="164" fontId="3" fillId="0" borderId="1" applyAlignment="1" pivotButton="0" quotePrefix="0" xfId="0">
      <alignment vertical="top"/>
    </xf>
    <xf numFmtId="0" fontId="8" fillId="0" borderId="0" pivotButton="0" quotePrefix="0" xfId="0"/>
    <xf numFmtId="165" fontId="5" fillId="0" borderId="1" pivotButton="0" quotePrefix="0" xfId="0"/>
    <xf numFmtId="0" fontId="7" fillId="0" borderId="0" pivotButton="0" quotePrefix="0" xfId="0"/>
    <xf numFmtId="165" fontId="7" fillId="0" borderId="1" pivotButton="0" quotePrefix="0" xfId="0"/>
    <xf numFmtId="165" fontId="5" fillId="2" borderId="1" pivotButton="0" quotePrefix="0" xfId="0"/>
    <xf numFmtId="164" fontId="7" fillId="0" borderId="1" pivotButton="0" quotePrefix="0" xfId="0"/>
    <xf numFmtId="0" fontId="3" fillId="0" borderId="0" pivotButton="0" quotePrefix="0" xfId="0"/>
    <xf numFmtId="9" fontId="4" fillId="2" borderId="0" pivotButton="0" quotePrefix="0" xfId="0"/>
    <xf numFmtId="166" fontId="4" fillId="0" borderId="1" applyAlignment="1" pivotButton="0" quotePrefix="0" xfId="0">
      <alignment vertical="top"/>
    </xf>
    <xf numFmtId="166" fontId="7" fillId="0" borderId="1" applyAlignment="1" pivotButton="0" quotePrefix="0" xfId="0">
      <alignment vertical="top"/>
    </xf>
    <xf numFmtId="166" fontId="5" fillId="0" borderId="0" pivotButton="0" quotePrefix="0" xfId="0"/>
    <xf numFmtId="0" fontId="6" fillId="3" borderId="1" pivotButton="0" quotePrefix="0" xfId="0"/>
    <xf numFmtId="0" fontId="7" fillId="0" borderId="1" pivotButton="0" quotePrefix="0" xfId="0"/>
    <xf numFmtId="1" fontId="7" fillId="0" borderId="1" pivotButton="0" quotePrefix="0" xfId="0"/>
    <xf numFmtId="0" fontId="7" fillId="0" borderId="0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vertical="top"/>
    </xf>
    <xf numFmtId="164" fontId="7" fillId="0" borderId="1" applyAlignment="1" pivotButton="0" quotePrefix="0" xfId="0">
      <alignment vertical="top"/>
    </xf>
    <xf numFmtId="165" fontId="4" fillId="0" borderId="1" applyAlignment="1" pivotButton="0" quotePrefix="0" xfId="0">
      <alignment vertical="top"/>
    </xf>
    <xf numFmtId="165" fontId="7" fillId="0" borderId="1" applyAlignment="1" pivotButton="0" quotePrefix="0" xfId="0">
      <alignment vertical="top"/>
    </xf>
    <xf numFmtId="165" fontId="7" fillId="5" borderId="1" applyAlignment="1" pivotButton="0" quotePrefix="0" xfId="0">
      <alignment vertical="top"/>
    </xf>
    <xf numFmtId="164" fontId="3" fillId="0" borderId="1" applyAlignment="1" pivotButton="0" quotePrefix="0" xfId="0">
      <alignment vertical="top"/>
    </xf>
    <xf numFmtId="0" fontId="7" fillId="0" borderId="1" applyAlignment="1" pivotButton="0" quotePrefix="0" xfId="0">
      <alignment horizontal="center" vertical="center"/>
    </xf>
    <xf numFmtId="165" fontId="5" fillId="0" borderId="1" pivotButton="0" quotePrefix="0" xfId="0"/>
    <xf numFmtId="165" fontId="7" fillId="0" borderId="1" pivotButton="0" quotePrefix="0" xfId="0"/>
    <xf numFmtId="165" fontId="5" fillId="2" borderId="1" pivotButton="0" quotePrefix="0" xfId="0"/>
    <xf numFmtId="164" fontId="7" fillId="0" borderId="1" pivotButton="0" quotePrefix="0" xfId="0"/>
    <xf numFmtId="166" fontId="4" fillId="0" borderId="1" applyAlignment="1" pivotButton="0" quotePrefix="0" xfId="0">
      <alignment vertical="top"/>
    </xf>
    <xf numFmtId="166" fontId="7" fillId="0" borderId="1" applyAlignment="1" pivotButton="0" quotePrefix="0" xfId="0">
      <alignment vertical="top"/>
    </xf>
    <xf numFmtId="166" fontId="5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Claude</author>
    <author>RoboCore</author>
  </authors>
  <commentList>
    <comment ref="D5" authorId="0" shapeId="0">
      <text>
        <t>Assumption: Zambian import VAT 16 %. Duty is 0–15 % depending on the HS code (see RoboCore_V2_costing.md); raise this if your clearing agent says duty applies.</t>
      </text>
    </comment>
    <comment ref="C12" authorId="1" shapeId="0">
      <text>
        <t>RCWL-1601 shown (3–5 V, HC-SR04 compatible). An HC-SR04P looks like the classic blue HC-SR04.</t>
      </text>
    </comment>
    <comment ref="C13" authorId="1" shapeId="0">
      <text>
        <t>Similar, not the same: our own 3-channel TCRT5000 board (same 60 × 24 mm size and sensors). Buy the module described in column D; it must have ANALOG outputs.</t>
      </text>
    </comment>
    <comment ref="C14" authorId="1" shapeId="0">
      <text>
        <t>MG90D shown (Adafruit's metal-gear micro servo). The MG90S is the same size, horns and mounting.</t>
      </text>
    </comment>
    <comment ref="C17" authorId="1" shapeId="0">
      <text>
        <t>Shown: 3- and 4-cell holders. Buy a 3 × 18650 holder (about 61.6 × 78.4 mm) and wire it in PARALLEL (1S3P).</t>
      </text>
    </comment>
    <comment ref="C18" authorId="1" shapeId="0">
      <text>
        <t>Board side shown: the male XT30 on the controller. Buy the FEMALE XT30U-F with leads, which plugs into it.</t>
      </text>
    </comment>
    <comment ref="C21" authorId="1" shapeId="0">
      <text>
        <t>Any 5 V, 2 A USB charger will do.</t>
      </text>
    </comment>
    <comment ref="C23" authorId="1" shapeId="0">
      <text>
        <t>M3 × 4 inserts shown; the M2 ones look the same, only smaller.</t>
      </text>
    </comment>
    <comment ref="C24" authorId="1" shapeId="0">
      <text>
        <t>M3 × 4 brass heat-set inserts (Adafruit 4255).</t>
      </text>
    </comment>
    <comment ref="C25" authorId="1" shapeId="0">
      <text>
        <t>Phillips pan head machine screw (not to scale).</t>
      </text>
    </comment>
    <comment ref="C26" authorId="1" shapeId="0">
      <text>
        <t>Self-tapping screws (not to scale); pan head wanted.</t>
      </text>
    </comment>
    <comment ref="C27" authorId="1" shapeId="0">
      <text>
        <t>Flat washers (not to scale).</t>
      </text>
    </comment>
    <comment ref="C28" authorId="1" shapeId="0">
      <text>
        <t>Phillips pan head machine screw (not to scale).</t>
      </text>
    </comment>
    <comment ref="C29" authorId="1" shapeId="0">
      <text>
        <t>Phillips pan head machine screw (not to scale).</t>
      </text>
    </comment>
    <comment ref="C30" authorId="1" shapeId="0">
      <text>
        <t>Phillips pan head machine screw (not to scale).</t>
      </text>
    </comment>
    <comment ref="C31" authorId="1" shapeId="0">
      <text>
        <t>Socket head cap screw (not to scale).</t>
      </text>
    </comment>
    <comment ref="C32" authorId="1" shapeId="0">
      <text>
        <t>Self-tapping screws (not to scale); pan head wanted.</t>
      </text>
    </comment>
    <comment ref="C33" authorId="1" shapeId="0">
      <text>
        <t>Star-knob thumb screw shown; the list asks for a knurled-head M3 × 8 thumb screw.</t>
      </text>
    </comment>
    <comment ref="C34" authorId="1" shapeId="0">
      <text>
        <t>Hex nuts on a bolt (not to scale): plain M8 hex nuts.</t>
      </text>
    </comment>
    <comment ref="C35" authorId="1" shapeId="0">
      <text>
        <t>Polished steel ball, shown much bigger than life: you need ½" (12.7 mm) balls.</t>
      </text>
    </comment>
    <comment ref="C37" authorId="1" shapeId="0">
      <text>
        <t>Filament spools (generic photo). Buy PETG in the colour on this line.</t>
      </text>
    </comment>
    <comment ref="C38" authorId="1" shapeId="0">
      <text>
        <t>Filament spools (generic photo). Buy black PETG.</t>
      </text>
    </comment>
    <comment ref="C39" authorId="1" shapeId="0">
      <text>
        <t>Filament spools (generic photo). Buy dark teal PETG.</t>
      </text>
    </comment>
    <comment ref="C40" authorId="1" shapeId="0">
      <text>
        <t>Filament spools (generic photo). Buy black TPU 95A.</t>
      </text>
    </comment>
    <comment ref="C47" authorId="1" shapeId="0">
      <text>
        <t>M3 heat-set insert tip shown; get the M2 tip as well, to fit your iron.</t>
      </text>
    </comment>
  </commentList>
</comments>
</file>

<file path=xl/comments/comment2.xml><?xml version="1.0" encoding="utf-8"?>
<comments xmlns="http://schemas.openxmlformats.org/spreadsheetml/2006/main">
  <authors>
    <author>Claude</author>
  </authors>
  <commentList>
    <comment ref="C4" authorId="0" shapeId="0">
      <text>
        <t>Assumption: 15 % extra filament for brims, purge and the odd failed print.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Relationship Type="http://schemas.openxmlformats.org/officeDocument/2006/relationships/image" Target="/xl/media/image2.jpeg" Id="rId2"/><Relationship Type="http://schemas.openxmlformats.org/officeDocument/2006/relationships/image" Target="/xl/media/image3.jpeg" Id="rId3"/><Relationship Type="http://schemas.openxmlformats.org/officeDocument/2006/relationships/image" Target="/xl/media/image4.jpeg" Id="rId4"/><Relationship Type="http://schemas.openxmlformats.org/officeDocument/2006/relationships/image" Target="/xl/media/image5.jpeg" Id="rId5"/><Relationship Type="http://schemas.openxmlformats.org/officeDocument/2006/relationships/image" Target="/xl/media/image6.jpeg" Id="rId6"/><Relationship Type="http://schemas.openxmlformats.org/officeDocument/2006/relationships/image" Target="/xl/media/image7.jpeg" Id="rId7"/><Relationship Type="http://schemas.openxmlformats.org/officeDocument/2006/relationships/image" Target="/xl/media/image8.jpeg" Id="rId8"/><Relationship Type="http://schemas.openxmlformats.org/officeDocument/2006/relationships/image" Target="/xl/media/image9.jpeg" Id="rId9"/><Relationship Type="http://schemas.openxmlformats.org/officeDocument/2006/relationships/image" Target="/xl/media/image10.jpeg" Id="rId10"/><Relationship Type="http://schemas.openxmlformats.org/officeDocument/2006/relationships/image" Target="/xl/media/image11.jpeg" Id="rId11"/><Relationship Type="http://schemas.openxmlformats.org/officeDocument/2006/relationships/image" Target="/xl/media/image12.jpeg" Id="rId12"/><Relationship Type="http://schemas.openxmlformats.org/officeDocument/2006/relationships/image" Target="/xl/media/image13.jpeg" Id="rId13"/><Relationship Type="http://schemas.openxmlformats.org/officeDocument/2006/relationships/image" Target="/xl/media/image14.jpeg" Id="rId14"/><Relationship Type="http://schemas.openxmlformats.org/officeDocument/2006/relationships/image" Target="/xl/media/image15.jpeg" Id="rId15"/><Relationship Type="http://schemas.openxmlformats.org/officeDocument/2006/relationships/image" Target="/xl/media/image16.jpeg" Id="rId16"/><Relationship Type="http://schemas.openxmlformats.org/officeDocument/2006/relationships/image" Target="/xl/media/image17.jpeg" Id="rId17"/><Relationship Type="http://schemas.openxmlformats.org/officeDocument/2006/relationships/image" Target="/xl/media/image18.jpeg" Id="rId18"/><Relationship Type="http://schemas.openxmlformats.org/officeDocument/2006/relationships/image" Target="/xl/media/image19.jpeg" Id="rId19"/><Relationship Type="http://schemas.openxmlformats.org/officeDocument/2006/relationships/image" Target="/xl/media/image20.jpeg" Id="rId20"/><Relationship Type="http://schemas.openxmlformats.org/officeDocument/2006/relationships/image" Target="/xl/media/image21.jpeg" Id="rId21"/><Relationship Type="http://schemas.openxmlformats.org/officeDocument/2006/relationships/image" Target="/xl/media/image22.jpeg" Id="rId22"/><Relationship Type="http://schemas.openxmlformats.org/officeDocument/2006/relationships/image" Target="/xl/media/image23.jpeg" Id="rId23"/><Relationship Type="http://schemas.openxmlformats.org/officeDocument/2006/relationships/image" Target="/xl/media/image24.jpeg" Id="rId24"/><Relationship Type="http://schemas.openxmlformats.org/officeDocument/2006/relationships/image" Target="/xl/media/image25.jpeg" Id="rId25"/><Relationship Type="http://schemas.openxmlformats.org/officeDocument/2006/relationships/image" Target="/xl/media/image26.jpeg" Id="rId26"/><Relationship Type="http://schemas.openxmlformats.org/officeDocument/2006/relationships/image" Target="/xl/media/image27.jpeg" Id="rId27"/><Relationship Type="http://schemas.openxmlformats.org/officeDocument/2006/relationships/image" Target="/xl/media/image28.jpeg" Id="rId28"/><Relationship Type="http://schemas.openxmlformats.org/officeDocument/2006/relationships/image" Target="/xl/media/image29.jpeg" Id="rId29"/></Relationships>
</file>

<file path=xl/drawings/drawing1.xml><?xml version="1.0" encoding="utf-8"?>
<wsDr xmlns="http://schemas.openxmlformats.org/drawingml/2006/spreadsheetDrawing">
  <oneCellAnchor>
    <from>
      <col>2</col>
      <colOff>66675</colOff>
      <row>8</row>
      <rowOff>38100</rowOff>
    </from>
    <ext cx="1143000" cy="857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2</col>
      <colOff>123825</colOff>
      <row>10</row>
      <rowOff>38100</rowOff>
    </from>
    <ext cx="1028700" cy="857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2</col>
      <colOff>66675</colOff>
      <row>11</row>
      <rowOff>76200</rowOff>
    </from>
    <ext cx="1143000" cy="77152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2</col>
      <colOff>66675</colOff>
      <row>12</row>
      <rowOff>114300</rowOff>
    </from>
    <ext cx="1143000" cy="695325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2</col>
      <colOff>66675</colOff>
      <row>13</row>
      <rowOff>38100</rowOff>
    </from>
    <ext cx="1143000" cy="8572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2</col>
      <colOff>66675</colOff>
      <row>15</row>
      <rowOff>38100</rowOff>
    </from>
    <ext cx="1143000" cy="8572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2</col>
      <colOff>66675</colOff>
      <row>16</row>
      <rowOff>85725</rowOff>
    </from>
    <ext cx="1143000" cy="76200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2</col>
      <colOff>95250</colOff>
      <row>17</row>
      <rowOff>38100</rowOff>
    </from>
    <ext cx="1085850" cy="8572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2</col>
      <colOff>76200</colOff>
      <row>19</row>
      <rowOff>38100</rowOff>
    </from>
    <ext cx="1114425" cy="8572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2</col>
      <colOff>66675</colOff>
      <row>20</row>
      <rowOff>76200</rowOff>
    </from>
    <ext cx="1143000" cy="771525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2</col>
      <colOff>66675</colOff>
      <row>22</row>
      <rowOff>38100</rowOff>
    </from>
    <ext cx="1143000" cy="85725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2</col>
      <colOff>66675</colOff>
      <row>23</row>
      <rowOff>38100</rowOff>
    </from>
    <ext cx="1143000" cy="85725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2</col>
      <colOff>133350</colOff>
      <row>24</row>
      <rowOff>38100</rowOff>
    </from>
    <ext cx="1000125" cy="85725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2</col>
      <colOff>66675</colOff>
      <row>25</row>
      <rowOff>38100</rowOff>
    </from>
    <ext cx="1143000" cy="85725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2</col>
      <colOff>66675</colOff>
      <row>26</row>
      <rowOff>85725</rowOff>
    </from>
    <ext cx="1143000" cy="76200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2</col>
      <colOff>133350</colOff>
      <row>27</row>
      <rowOff>38100</rowOff>
    </from>
    <ext cx="1000125" cy="85725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2</col>
      <colOff>133350</colOff>
      <row>28</row>
      <rowOff>38100</rowOff>
    </from>
    <ext cx="1000125" cy="85725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2</col>
      <colOff>133350</colOff>
      <row>29</row>
      <rowOff>38100</rowOff>
    </from>
    <ext cx="1000125" cy="85725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2</col>
      <colOff>209550</colOff>
      <row>30</row>
      <rowOff>38100</rowOff>
    </from>
    <ext cx="857250" cy="85725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2</col>
      <colOff>66675</colOff>
      <row>31</row>
      <rowOff>38100</rowOff>
    </from>
    <ext cx="1143000" cy="85725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2</col>
      <colOff>95250</colOff>
      <row>32</row>
      <rowOff>38100</rowOff>
    </from>
    <ext cx="1085850" cy="857250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2</col>
      <colOff>371475</colOff>
      <row>33</row>
      <rowOff>38100</rowOff>
    </from>
    <ext cx="533400" cy="85725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2</col>
      <colOff>104775</colOff>
      <row>34</row>
      <rowOff>38100</rowOff>
    </from>
    <ext cx="1066800" cy="857250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2</col>
      <colOff>66675</colOff>
      <row>36</row>
      <rowOff>142875</rowOff>
    </from>
    <ext cx="1143000" cy="647700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2</col>
      <colOff>66675</colOff>
      <row>37</row>
      <rowOff>142875</rowOff>
    </from>
    <ext cx="1143000" cy="647700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2</col>
      <colOff>66675</colOff>
      <row>38</row>
      <rowOff>142875</rowOff>
    </from>
    <ext cx="1143000" cy="647700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2</col>
      <colOff>66675</colOff>
      <row>39</row>
      <rowOff>142875</rowOff>
    </from>
    <ext cx="1143000" cy="647700"/>
    <pic>
      <nvPicPr>
        <cNvPr id="31" name="Image 31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2</col>
      <colOff>66675</colOff>
      <row>41</row>
      <rowOff>104775</rowOff>
    </from>
    <ext cx="1143000" cy="714375"/>
    <pic>
      <nvPicPr>
        <cNvPr id="32" name="Image 32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2</col>
      <colOff>66675</colOff>
      <row>46</row>
      <rowOff>38100</rowOff>
    </from>
    <ext cx="1143000" cy="857250"/>
    <pic>
      <nvPicPr>
        <cNvPr id="33" name="Image 33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R68"/>
  <sheetViews>
    <sheetView zoomScale="110" workbookViewId="0">
      <pane xSplit="3" ySplit="7" topLeftCell="D8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18.5" customWidth="1" min="3" max="3"/>
    <col width="38" customWidth="1" min="4" max="4"/>
    <col width="9" customWidth="1" min="5" max="5"/>
    <col width="7" customWidth="1" min="6" max="6"/>
    <col width="9" customWidth="1" min="7" max="7"/>
    <col width="10" customWidth="1" min="8" max="8"/>
    <col width="9" customWidth="1" min="9" max="9"/>
    <col width="8" customWidth="1" min="10" max="10"/>
    <col width="8" customWidth="1" min="11" max="11"/>
    <col width="11" customWidth="1" min="12" max="12"/>
    <col width="11" customWidth="1" min="13" max="13"/>
    <col width="20" customWidth="1" min="14" max="14"/>
    <col width="8" customWidth="1" min="15" max="15"/>
    <col width="11" customWidth="1" min="16" max="16"/>
    <col width="12" customWidth="1" min="17" max="17"/>
    <col width="60" customWidth="1" min="18" max="18"/>
  </cols>
  <sheetData>
    <row r="1">
      <c r="A1" s="1" t="inlineStr">
        <is>
          <t>RoboCore V2 robot: component list</t>
        </is>
      </c>
    </row>
    <row r="2">
      <c r="A2" s="2" t="inlineStr">
        <is>
          <t>Everything needed to build the robots with the arm, as of 2026-10-12. Prices are estimates in USD. Blue text = input you can change; yellow = fill in when you buy; green = from the Printed parts sheet.</t>
        </is>
      </c>
    </row>
    <row r="3"/>
    <row r="4">
      <c r="B4" s="3" t="inlineStr">
        <is>
          <t>Robots to build</t>
        </is>
      </c>
      <c r="D4" s="4" t="n">
        <v>2</v>
      </c>
    </row>
    <row r="5">
      <c r="B5" s="3" t="inlineStr">
        <is>
          <t>Import VAT + duty allowance</t>
        </is>
      </c>
      <c r="D5" s="5" t="n">
        <v>0.16</v>
      </c>
    </row>
    <row r="6"/>
    <row r="7" ht="42" customHeight="1">
      <c r="A7" s="6" t="inlineStr">
        <is>
          <t>#</t>
        </is>
      </c>
      <c r="B7" s="6" t="inlineStr">
        <is>
          <t>Part</t>
        </is>
      </c>
      <c r="C7" s="6" t="inlineStr">
        <is>
          <t>Photo</t>
        </is>
      </c>
      <c r="D7" s="6" t="inlineStr">
        <is>
          <t>What to buy / search for</t>
        </is>
      </c>
      <c r="E7" s="6" t="inlineStr">
        <is>
          <t>Per robot</t>
        </is>
      </c>
      <c r="F7" s="6" t="inlineStr">
        <is>
          <t>Unit</t>
        </is>
      </c>
      <c r="G7" s="6" t="inlineStr">
        <is>
          <t>For all robots</t>
        </is>
      </c>
      <c r="H7" s="6" t="inlineStr">
        <is>
          <t>Extra (spares / one-off)</t>
        </is>
      </c>
      <c r="I7" s="6" t="inlineStr">
        <is>
          <t>Total needed</t>
        </is>
      </c>
      <c r="J7" s="6" t="inlineStr">
        <is>
          <t>Pack size</t>
        </is>
      </c>
      <c r="K7" s="6" t="inlineStr">
        <is>
          <t>Packs to buy</t>
        </is>
      </c>
      <c r="L7" s="6" t="inlineStr">
        <is>
          <t>Est. price per pack (USD)</t>
        </is>
      </c>
      <c r="M7" s="6" t="inlineStr">
        <is>
          <t>Est. cost (USD)</t>
        </is>
      </c>
      <c r="N7" s="6" t="inlineStr">
        <is>
          <t>Where to buy</t>
        </is>
      </c>
      <c r="O7" s="6" t="inlineStr">
        <is>
          <t>Origin</t>
        </is>
      </c>
      <c r="P7" s="6" t="inlineStr">
        <is>
          <t>Actual paid (USD)</t>
        </is>
      </c>
      <c r="Q7" s="6" t="inlineStr">
        <is>
          <t>Status</t>
        </is>
      </c>
      <c r="R7" s="6" t="inlineStr">
        <is>
          <t>Check before buying / notes</t>
        </is>
      </c>
    </row>
    <row r="8">
      <c r="A8" s="7" t="inlineStr">
        <is>
          <t>Controller board (on order at PCBWay)</t>
        </is>
      </c>
      <c r="B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</row>
    <row r="9" ht="74" customHeight="1">
      <c r="A9" s="9" t="n">
        <v>1</v>
      </c>
      <c r="B9" s="10" t="inlineStr">
        <is>
          <t>RoboCore V2 controller, assembled</t>
        </is>
      </c>
      <c r="C9" s="33" t="n"/>
      <c r="D9" s="10" t="inlineStr">
        <is>
          <t>PCBWay PCB W836287AS1F11 + assembly T-1F12W836287A: 2 assembled boards (+3 bare PCBs)</t>
        </is>
      </c>
      <c r="E9" s="34" t="n">
        <v>1</v>
      </c>
      <c r="F9" s="9" t="inlineStr">
        <is>
          <t>pcs</t>
        </is>
      </c>
      <c r="G9" s="35">
        <f>E9*$D$4</f>
        <v/>
      </c>
      <c r="H9" s="34" t="n">
        <v>0</v>
      </c>
      <c r="I9" s="35">
        <f>G9+H9</f>
        <v/>
      </c>
      <c r="J9" s="34" t="n">
        <v>2</v>
      </c>
      <c r="K9" s="35">
        <f>IF(I9=0,0,ROUNDUP(I9/J9,0))</f>
        <v/>
      </c>
      <c r="L9" s="36" t="n">
        <v>294.71</v>
      </c>
      <c r="M9" s="37">
        <f>IF(Q9="Have already",0,K9*L9)</f>
        <v/>
      </c>
      <c r="N9" s="10" t="inlineStr">
        <is>
          <t>PCBWay (quoted)</t>
        </is>
      </c>
      <c r="O9" s="15" t="inlineStr">
        <is>
          <t>Import</t>
        </is>
      </c>
      <c r="P9" s="38" t="n"/>
      <c r="Q9" s="15" t="inlineStr">
        <is>
          <t>Quoted</t>
        </is>
      </c>
      <c r="R9" s="10" t="inlineStr">
        <is>
          <t>Quoted, not paid (awaiting audit): $57.43 PCB + $88 assembly + $144.40 parts + $34.88 FedEx − $30 coupon. Price is for the whole order of 2.</t>
        </is>
      </c>
    </row>
    <row r="10">
      <c r="A10" s="7" t="inlineStr">
        <is>
          <t>Motors, sensors and servos</t>
        </is>
      </c>
      <c r="B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</row>
    <row r="11" ht="74" customHeight="1">
      <c r="A11" s="9" t="n">
        <v>2</v>
      </c>
      <c r="B11" s="10" t="inlineStr">
        <is>
          <t>Motor pair with encoders (XRP motor)</t>
        </is>
      </c>
      <c r="C11" s="33" t="n"/>
      <c r="D11" s="10" t="inlineStr">
        <is>
          <t>SparkFun ROB-24053: 2 motors, 1:48 gearbox, 585 counts per wheel turn, two 6-pin cables included</t>
        </is>
      </c>
      <c r="E11" s="34" t="n">
        <v>1</v>
      </c>
      <c r="F11" s="9" t="inlineStr">
        <is>
          <t>pair</t>
        </is>
      </c>
      <c r="G11" s="35">
        <f>E11*$D$4</f>
        <v/>
      </c>
      <c r="H11" s="34" t="n">
        <v>0</v>
      </c>
      <c r="I11" s="35">
        <f>G11+H11</f>
        <v/>
      </c>
      <c r="J11" s="34" t="n">
        <v>1</v>
      </c>
      <c r="K11" s="35">
        <f>IF(I11=0,0,ROUNDUP(I11/J11,0))</f>
        <v/>
      </c>
      <c r="L11" s="36" t="n">
        <v>28.5</v>
      </c>
      <c r="M11" s="37">
        <f>IF(Q11="Have already",0,K11*L11)</f>
        <v/>
      </c>
      <c r="N11" s="10" t="inlineStr">
        <is>
          <t>SparkFun (or a regional XRP reseller)</t>
        </is>
      </c>
      <c r="O11" s="15" t="inlineStr">
        <is>
          <t>Import</t>
        </is>
      </c>
      <c r="P11" s="38" t="n"/>
      <c r="Q11" s="15" t="inlineStr">
        <is>
          <t>To buy</t>
        </is>
      </c>
      <c r="R11" s="10" t="inlineStr">
        <is>
          <t>The chassis motor pockets and encoder cover are built around this motor; a generic TT encoder motor won't fit. SparkFun showed 'Backorder' on 2026-10-11: check stock first. Wheels are printed.</t>
        </is>
      </c>
    </row>
    <row r="12" ht="74" customHeight="1">
      <c r="A12" s="9" t="n">
        <v>3</v>
      </c>
      <c r="B12" s="10" t="inlineStr">
        <is>
          <t>Ultrasonic sensor, 3.3 V type</t>
        </is>
      </c>
      <c r="C12" s="33" t="n"/>
      <c r="D12" s="10" t="inlineStr">
        <is>
          <t>Search: 'HC-SR04P' (3–5.5 V) or 'RCWL-1601'. 45 × 20 mm, Ø16 mm cans 26 mm apart</t>
        </is>
      </c>
      <c r="E12" s="34" t="n">
        <v>1</v>
      </c>
      <c r="F12" s="9" t="inlineStr">
        <is>
          <t>pcs</t>
        </is>
      </c>
      <c r="G12" s="35">
        <f>E12*$D$4</f>
        <v/>
      </c>
      <c r="H12" s="34" t="n">
        <v>1</v>
      </c>
      <c r="I12" s="35">
        <f>G12+H12</f>
        <v/>
      </c>
      <c r="J12" s="34" t="n">
        <v>1</v>
      </c>
      <c r="K12" s="35">
        <f>IF(I12=0,0,ROUNDUP(I12/J12,0))</f>
        <v/>
      </c>
      <c r="L12" s="36" t="n">
        <v>1.5</v>
      </c>
      <c r="M12" s="37">
        <f>IF(Q12="Have already",0,K12*L12)</f>
        <v/>
      </c>
      <c r="N12" s="10" t="inlineStr">
        <is>
          <t>AliExpress</t>
        </is>
      </c>
      <c r="O12" s="15" t="inlineStr">
        <is>
          <t>Import</t>
        </is>
      </c>
      <c r="P12" s="38" t="n"/>
      <c r="Q12" s="15" t="inlineStr">
        <is>
          <t>To buy</t>
        </is>
      </c>
      <c r="R12" s="10" t="inlineStr">
        <is>
          <t>J403 supplies 3.3 V; the classic 5 V HC-SR04 is unreliable at 3.3 V. The pod is sized for the 45 × 20 mm board.</t>
        </is>
      </c>
    </row>
    <row r="13" ht="74" customHeight="1">
      <c r="A13" s="9" t="n">
        <v>4</v>
      </c>
      <c r="B13" s="10" t="inlineStr">
        <is>
          <t>Line sensor, 3-channel</t>
        </is>
      </c>
      <c r="C13" s="33" t="n"/>
      <c r="D13" s="10" t="inlineStr">
        <is>
          <t>Search: '3 channel TCRT5000 line tracking module analog'. Pins VCC GND L C R, about 60 × 24 mm</t>
        </is>
      </c>
      <c r="E13" s="34" t="n">
        <v>1</v>
      </c>
      <c r="F13" s="9" t="inlineStr">
        <is>
          <t>pcs</t>
        </is>
      </c>
      <c r="G13" s="35">
        <f>E13*$D$4</f>
        <v/>
      </c>
      <c r="H13" s="34" t="n">
        <v>1</v>
      </c>
      <c r="I13" s="35">
        <f>G13+H13</f>
        <v/>
      </c>
      <c r="J13" s="34" t="n">
        <v>1</v>
      </c>
      <c r="K13" s="35">
        <f>IF(I13=0,0,ROUNDUP(I13/J13,0))</f>
        <v/>
      </c>
      <c r="L13" s="36" t="n">
        <v>2.5</v>
      </c>
      <c r="M13" s="37">
        <f>IF(Q13="Have already",0,K13*L13)</f>
        <v/>
      </c>
      <c r="N13" s="10" t="inlineStr">
        <is>
          <t>AliExpress</t>
        </is>
      </c>
      <c r="O13" s="15" t="inlineStr">
        <is>
          <t>Import</t>
        </is>
      </c>
      <c r="P13" s="38" t="n"/>
      <c r="Q13" s="15" t="inlineStr">
        <is>
          <t>To buy</t>
        </is>
      </c>
      <c r="R13" s="10" t="inlineStr">
        <is>
          <t>Must have ANALOG outputs (J404 is wired for analog); many modules are digital-only (LM339). The sled is sized for 60 × 24 mm: buy one first and check it fits. Dupont wires, so any pin order works.</t>
        </is>
      </c>
    </row>
    <row r="14" ht="74" customHeight="1">
      <c r="A14" s="9" t="n">
        <v>5</v>
      </c>
      <c r="B14" s="10" t="inlineStr">
        <is>
          <t>Micro servo, metal gear (MG90S)</t>
        </is>
      </c>
      <c r="C14" s="33" t="n"/>
      <c r="D14" s="10" t="inlineStr">
        <is>
          <t>MG90S, with horns and screws: one for the shoulder, one for the gripper</t>
        </is>
      </c>
      <c r="E14" s="34" t="n">
        <v>2</v>
      </c>
      <c r="F14" s="9" t="inlineStr">
        <is>
          <t>pcs</t>
        </is>
      </c>
      <c r="G14" s="35">
        <f>E14*$D$4</f>
        <v/>
      </c>
      <c r="H14" s="34" t="n">
        <v>2</v>
      </c>
      <c r="I14" s="35">
        <f>G14+H14</f>
        <v/>
      </c>
      <c r="J14" s="34" t="n">
        <v>1</v>
      </c>
      <c r="K14" s="35">
        <f>IF(I14=0,0,ROUNDUP(I14/J14,0))</f>
        <v/>
      </c>
      <c r="L14" s="36" t="n">
        <v>3.5</v>
      </c>
      <c r="M14" s="37">
        <f>IF(Q14="Have already",0,K14*L14)</f>
        <v/>
      </c>
      <c r="N14" s="10" t="inlineStr">
        <is>
          <t>AliExpress</t>
        </is>
      </c>
      <c r="O14" s="15" t="inlineStr">
        <is>
          <t>Import</t>
        </is>
      </c>
      <c r="P14" s="38" t="n"/>
      <c r="Q14" s="15" t="inlineStr">
        <is>
          <t>To buy</t>
        </is>
      </c>
      <c r="R14" s="10" t="inlineStr">
        <is>
          <t>Both arm joints use the same servo (one part type to stock; metal gears survive a stalled gripper). SERVO 1 = shoulder, SERVO 2 = gripper. Clone quality varies: buy from a well-reviewed store and test on arrival. Each servo's bag has its horns and the tab screws that hold it in the arm.</t>
        </is>
      </c>
    </row>
    <row r="15">
      <c r="A15" s="7" t="inlineStr">
        <is>
          <t>Battery and power</t>
        </is>
      </c>
      <c r="B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</row>
    <row r="16" ht="74" customHeight="1">
      <c r="A16" s="9" t="n">
        <v>6</v>
      </c>
      <c r="B16" s="10" t="inlineStr">
        <is>
          <t>18650 Li-ion cell</t>
        </is>
      </c>
      <c r="C16" s="33" t="n"/>
      <c r="D16" s="10" t="inlineStr">
        <is>
          <t>Branded (Samsung, LG, Molicel, EVE…), about 3000 mAh, 65 mm long, all the same type</t>
        </is>
      </c>
      <c r="E16" s="34" t="n">
        <v>3</v>
      </c>
      <c r="F16" s="9" t="inlineStr">
        <is>
          <t>pcs</t>
        </is>
      </c>
      <c r="G16" s="35">
        <f>E16*$D$4</f>
        <v/>
      </c>
      <c r="H16" s="34" t="n">
        <v>0</v>
      </c>
      <c r="I16" s="35">
        <f>G16+H16</f>
        <v/>
      </c>
      <c r="J16" s="34" t="n">
        <v>1</v>
      </c>
      <c r="K16" s="35">
        <f>IF(I16=0,0,ROUNDUP(I16/J16,0))</f>
        <v/>
      </c>
      <c r="L16" s="36" t="n">
        <v>3.5</v>
      </c>
      <c r="M16" s="37">
        <f>IF(Q16="Have already",0,K16*L16)</f>
        <v/>
      </c>
      <c r="N16" s="10" t="inlineStr">
        <is>
          <t>Local / South Africa</t>
        </is>
      </c>
      <c r="O16" s="15" t="inlineStr">
        <is>
          <t>Local</t>
        </is>
      </c>
      <c r="P16" s="38" t="n"/>
      <c r="Q16" s="15" t="inlineStr">
        <is>
          <t>To buy</t>
        </is>
      </c>
      <c r="R16" s="10" t="inlineStr">
        <is>
          <t>Don't ship from China: couriers refuse loose cells and fakes are common. Match the cells (same type, same voltage) before fitting. Protected cells are ~70 mm long and may not fit the holder.</t>
        </is>
      </c>
    </row>
    <row r="17" ht="74" customHeight="1">
      <c r="A17" s="9" t="n">
        <v>7</v>
      </c>
      <c r="B17" s="10" t="inlineStr">
        <is>
          <t>3 × 18650 battery holder, parallel</t>
        </is>
      </c>
      <c r="C17" s="33" t="n"/>
      <c r="D17" s="10" t="inlineStr">
        <is>
          <t>61.6 × 78.4 mm, like the BatteryHolder3S in the model</t>
        </is>
      </c>
      <c r="E17" s="34" t="n">
        <v>1</v>
      </c>
      <c r="F17" s="9" t="inlineStr">
        <is>
          <t>pcs</t>
        </is>
      </c>
      <c r="G17" s="35">
        <f>E17*$D$4</f>
        <v/>
      </c>
      <c r="H17" s="34" t="n">
        <v>0</v>
      </c>
      <c r="I17" s="35">
        <f>G17+H17</f>
        <v/>
      </c>
      <c r="J17" s="34" t="n">
        <v>1</v>
      </c>
      <c r="K17" s="35">
        <f>IF(I17=0,0,ROUNDUP(I17/J17,0))</f>
        <v/>
      </c>
      <c r="L17" s="36" t="n">
        <v>2</v>
      </c>
      <c r="M17" s="37">
        <f>IF(Q17="Have already",0,K17*L17)</f>
        <v/>
      </c>
      <c r="N17" s="10" t="inlineStr">
        <is>
          <t>AliExpress</t>
        </is>
      </c>
      <c r="O17" s="15" t="inlineStr">
        <is>
          <t>Import</t>
        </is>
      </c>
      <c r="P17" s="38" t="n"/>
      <c r="Q17" s="15" t="inlineStr">
        <is>
          <t>To buy</t>
        </is>
      </c>
      <c r="R17" s="10" t="inlineStr">
        <is>
          <t>Wire it 1S3P (all cells in parallel). A holder sold as '3S' is wired in series and must be rewired: the board takes 4.2 V maximum. The chassis V-rails are sized for 61.6 × 78.4 mm.</t>
        </is>
      </c>
    </row>
    <row r="18" ht="74" customHeight="1">
      <c r="A18" s="9" t="n">
        <v>8</v>
      </c>
      <c r="B18" s="10" t="inlineStr">
        <is>
          <t>XT30 battery lead, female</t>
        </is>
      </c>
      <c r="C18" s="33" t="n"/>
      <c r="D18" s="10" t="inlineStr">
        <is>
          <t>AMASS XT30U-F with 10–15 cm of 16 AWG silicone wire</t>
        </is>
      </c>
      <c r="E18" s="34" t="n">
        <v>1</v>
      </c>
      <c r="F18" s="9" t="inlineStr">
        <is>
          <t>pcs</t>
        </is>
      </c>
      <c r="G18" s="35">
        <f>E18*$D$4</f>
        <v/>
      </c>
      <c r="H18" s="34" t="n">
        <v>1</v>
      </c>
      <c r="I18" s="35">
        <f>G18+H18</f>
        <v/>
      </c>
      <c r="J18" s="34" t="n">
        <v>5</v>
      </c>
      <c r="K18" s="35">
        <f>IF(I18=0,0,ROUNDUP(I18/J18,0))</f>
        <v/>
      </c>
      <c r="L18" s="36" t="n">
        <v>4</v>
      </c>
      <c r="M18" s="37">
        <f>IF(Q18="Have already",0,K18*L18)</f>
        <v/>
      </c>
      <c r="N18" s="10" t="inlineStr">
        <is>
          <t>AliExpress (AMASS store)</t>
        </is>
      </c>
      <c r="O18" s="15" t="inlineStr">
        <is>
          <t>Import</t>
        </is>
      </c>
      <c r="P18" s="38" t="n"/>
      <c r="Q18" s="15" t="inlineStr">
        <is>
          <t>To buy</t>
        </is>
      </c>
      <c r="R18" s="10" t="inlineStr">
        <is>
          <t>The board has the male XT30 (XT30UPB-M), so the battery side needs the female plug. Solder it straight to the holder's leads and insulate the joints (heat-shrink or tape you already have).</t>
        </is>
      </c>
    </row>
    <row r="19">
      <c r="A19" s="7" t="inlineStr">
        <is>
          <t>Cables</t>
        </is>
      </c>
      <c r="B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</row>
    <row r="20" ht="74" customHeight="1">
      <c r="A20" s="9" t="n">
        <v>9</v>
      </c>
      <c r="B20" s="10" t="inlineStr">
        <is>
          <t>Dupont jumper wires, female-female, 20 cm</t>
        </is>
      </c>
      <c r="C20" s="33" t="n"/>
      <c r="D20" s="10" t="inlineStr">
        <is>
          <t>4 for the ultrasonic (J403) + 5 for the line sensor (J404)</t>
        </is>
      </c>
      <c r="E20" s="34" t="n">
        <v>9</v>
      </c>
      <c r="F20" s="9" t="inlineStr">
        <is>
          <t>pcs</t>
        </is>
      </c>
      <c r="G20" s="35">
        <f>E20*$D$4</f>
        <v/>
      </c>
      <c r="H20" s="34" t="n">
        <v>0</v>
      </c>
      <c r="I20" s="35">
        <f>G20+H20</f>
        <v/>
      </c>
      <c r="J20" s="34" t="n">
        <v>40</v>
      </c>
      <c r="K20" s="35">
        <f>IF(I20=0,0,ROUNDUP(I20/J20,0))</f>
        <v/>
      </c>
      <c r="L20" s="36" t="n">
        <v>2</v>
      </c>
      <c r="M20" s="37">
        <f>IF(Q20="Have already",0,K20*L20)</f>
        <v/>
      </c>
      <c r="N20" s="10" t="inlineStr">
        <is>
          <t>AliExpress</t>
        </is>
      </c>
      <c r="O20" s="15" t="inlineStr">
        <is>
          <t>Import</t>
        </is>
      </c>
      <c r="P20" s="38" t="n"/>
      <c r="Q20" s="15" t="inlineStr">
        <is>
          <t>To buy</t>
        </is>
      </c>
      <c r="R20" s="10" t="inlineStr">
        <is>
          <t>Usually sold as a 40-wire strip.</t>
        </is>
      </c>
    </row>
    <row r="21" ht="74" customHeight="1">
      <c r="A21" s="9" t="n">
        <v>10</v>
      </c>
      <c r="B21" s="10" t="inlineStr">
        <is>
          <t>USB charger, 5 V 2 A (optional)</t>
        </is>
      </c>
      <c r="C21" s="33" t="n"/>
      <c r="D21" s="10" t="inlineStr">
        <is>
          <t>Any phone charger with a USB-C or USB-A port</t>
        </is>
      </c>
      <c r="E21" s="34" t="n">
        <v>0</v>
      </c>
      <c r="F21" s="9" t="inlineStr">
        <is>
          <t>pcs</t>
        </is>
      </c>
      <c r="G21" s="35">
        <f>E21*$D$4</f>
        <v/>
      </c>
      <c r="H21" s="34" t="n">
        <v>0</v>
      </c>
      <c r="I21" s="35">
        <f>G21+H21</f>
        <v/>
      </c>
      <c r="J21" s="34" t="n">
        <v>1</v>
      </c>
      <c r="K21" s="35">
        <f>IF(I21=0,0,ROUNDUP(I21/J21,0))</f>
        <v/>
      </c>
      <c r="L21" s="36" t="n">
        <v>4</v>
      </c>
      <c r="M21" s="37">
        <f>IF(Q21="Have already",0,K21*L21)</f>
        <v/>
      </c>
      <c r="N21" s="10" t="inlineStr">
        <is>
          <t>Local</t>
        </is>
      </c>
      <c r="O21" s="15" t="inlineStr">
        <is>
          <t>Local</t>
        </is>
      </c>
      <c r="P21" s="38" t="n"/>
      <c r="Q21" s="15" t="inlineStr">
        <is>
          <t>To buy</t>
        </is>
      </c>
      <c r="R21" s="10" t="inlineStr">
        <is>
          <t>Set 'Per robot' to 1 if the users don't have one. The board draws up to 1.65 A from USB.</t>
        </is>
      </c>
    </row>
    <row r="22">
      <c r="A22" s="7" t="inlineStr">
        <is>
          <t>Screws, inserts and small hardware (with the arm and one bus clip)</t>
        </is>
      </c>
      <c r="B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</row>
    <row r="23" ht="74" customHeight="1">
      <c r="A23" s="9" t="n">
        <v>11</v>
      </c>
      <c r="B23" s="10" t="inlineStr">
        <is>
          <t>M2 heat-set insert</t>
        </is>
      </c>
      <c r="C23" s="33" t="n"/>
      <c r="D23" s="10" t="inlineStr">
        <is>
          <t>For Ø3.2 mm holes (e.g. M2 × 3 × 3.2 OD)</t>
        </is>
      </c>
      <c r="E23" s="34" t="n">
        <v>4</v>
      </c>
      <c r="F23" s="9" t="inlineStr">
        <is>
          <t>pcs</t>
        </is>
      </c>
      <c r="G23" s="35">
        <f>E23*$D$4</f>
        <v/>
      </c>
      <c r="H23" s="34" t="n">
        <v>4</v>
      </c>
      <c r="I23" s="35">
        <f>G23+H23</f>
        <v/>
      </c>
      <c r="J23" s="34" t="n">
        <v>100</v>
      </c>
      <c r="K23" s="35">
        <f>IF(I23=0,0,ROUNDUP(I23/J23,0))</f>
        <v/>
      </c>
      <c r="L23" s="36" t="n">
        <v>2</v>
      </c>
      <c r="M23" s="37">
        <f>IF(Q23="Have already",0,K23*L23)</f>
        <v/>
      </c>
      <c r="N23" s="10" t="inlineStr">
        <is>
          <t>AliExpress</t>
        </is>
      </c>
      <c r="O23" s="15" t="inlineStr">
        <is>
          <t>Import</t>
        </is>
      </c>
      <c r="P23" s="38" t="n"/>
      <c r="Q23" s="15" t="inlineStr">
        <is>
          <t>To buy</t>
        </is>
      </c>
      <c r="R23" s="10" t="inlineStr">
        <is>
          <t>4: melted into the 4 bosses under the controller's corner holes; the board screws into them.</t>
        </is>
      </c>
    </row>
    <row r="24" ht="74" customHeight="1">
      <c r="A24" s="9" t="n">
        <v>12</v>
      </c>
      <c r="B24" s="10" t="inlineStr">
        <is>
          <t>M3 heat-set insert, short</t>
        </is>
      </c>
      <c r="C24" s="33" t="n"/>
      <c r="D24" s="10" t="inlineStr">
        <is>
          <t>For Ø4.0 mm holes (e.g. M3 × 4 × 4.0 OD)</t>
        </is>
      </c>
      <c r="E24" s="34" t="n">
        <v>6</v>
      </c>
      <c r="F24" s="9" t="inlineStr">
        <is>
          <t>pcs</t>
        </is>
      </c>
      <c r="G24" s="35">
        <f>E24*$D$4</f>
        <v/>
      </c>
      <c r="H24" s="34" t="n">
        <v>4</v>
      </c>
      <c r="I24" s="35">
        <f>G24+H24</f>
        <v/>
      </c>
      <c r="J24" s="34" t="n">
        <v>100</v>
      </c>
      <c r="K24" s="35">
        <f>IF(I24=0,0,ROUNDUP(I24/J24,0))</f>
        <v/>
      </c>
      <c r="L24" s="36" t="n">
        <v>2.5</v>
      </c>
      <c r="M24" s="37">
        <f>IF(Q24="Have already",0,K24*L24)</f>
        <v/>
      </c>
      <c r="N24" s="10" t="inlineStr">
        <is>
          <t>AliExpress</t>
        </is>
      </c>
      <c r="O24" s="15" t="inlineStr">
        <is>
          <t>Import</t>
        </is>
      </c>
      <c r="P24" s="38" t="n"/>
      <c r="Q24" s="15" t="inlineStr">
        <is>
          <t>To buy</t>
        </is>
      </c>
      <c r="R24" s="10" t="inlineStr">
        <is>
          <t>6: 2 in the dock tower tops (arm base + sonar bracket), 1 in each ballast clip (2), 1 in the bus clip's tab, 1 in the bus clip's accessory boss.</t>
        </is>
      </c>
    </row>
    <row r="25" ht="74" customHeight="1">
      <c r="A25" s="9" t="n">
        <v>13</v>
      </c>
      <c r="B25" s="10" t="inlineStr">
        <is>
          <t>M2 × 6 pan head machine screw</t>
        </is>
      </c>
      <c r="C25" s="33" t="n"/>
      <c r="D25" s="10" t="inlineStr">
        <is>
          <t>Into the M2 inserts</t>
        </is>
      </c>
      <c r="E25" s="34" t="n">
        <v>4</v>
      </c>
      <c r="F25" s="9" t="inlineStr">
        <is>
          <t>pcs</t>
        </is>
      </c>
      <c r="G25" s="35">
        <f>E25*$D$4</f>
        <v/>
      </c>
      <c r="H25" s="34" t="n">
        <v>4</v>
      </c>
      <c r="I25" s="35">
        <f>G25+H25</f>
        <v/>
      </c>
      <c r="J25" s="34" t="n">
        <v>50</v>
      </c>
      <c r="K25" s="35">
        <f>IF(I25=0,0,ROUNDUP(I25/J25,0))</f>
        <v/>
      </c>
      <c r="L25" s="36" t="n">
        <v>1.5</v>
      </c>
      <c r="M25" s="37">
        <f>IF(Q25="Have already",0,K25*L25)</f>
        <v/>
      </c>
      <c r="N25" s="10" t="inlineStr">
        <is>
          <t>AliExpress</t>
        </is>
      </c>
      <c r="O25" s="15" t="inlineStr">
        <is>
          <t>Import</t>
        </is>
      </c>
      <c r="P25" s="38" t="n"/>
      <c r="Q25" s="15" t="inlineStr">
        <is>
          <t>To buy</t>
        </is>
      </c>
      <c r="R25" s="10" t="inlineStr">
        <is>
          <t>4: controller onto the deck, into the M2 inserts. Tip: one M2/M3 screw assortment kit covers most of this section.</t>
        </is>
      </c>
    </row>
    <row r="26" ht="74" customHeight="1">
      <c r="A26" s="9" t="n">
        <v>14</v>
      </c>
      <c r="B26" s="10" t="inlineStr">
        <is>
          <t>M2 × 6 pan head self-tapping screw</t>
        </is>
      </c>
      <c r="C26" s="33" t="n"/>
      <c r="D26" s="10" t="inlineStr">
        <is>
          <t>Wheel onto the motor shaft</t>
        </is>
      </c>
      <c r="E26" s="34" t="n">
        <v>2</v>
      </c>
      <c r="F26" s="9" t="inlineStr">
        <is>
          <t>pcs</t>
        </is>
      </c>
      <c r="G26" s="35">
        <f>E26*$D$4</f>
        <v/>
      </c>
      <c r="H26" s="34" t="n">
        <v>2</v>
      </c>
      <c r="I26" s="35">
        <f>G26+H26</f>
        <v/>
      </c>
      <c r="J26" s="34" t="n">
        <v>50</v>
      </c>
      <c r="K26" s="35">
        <f>IF(I26=0,0,ROUNDUP(I26/J26,0))</f>
        <v/>
      </c>
      <c r="L26" s="36" t="n">
        <v>1.5</v>
      </c>
      <c r="M26" s="37">
        <f>IF(Q26="Have already",0,K26*L26)</f>
        <v/>
      </c>
      <c r="N26" s="10" t="inlineStr">
        <is>
          <t>AliExpress</t>
        </is>
      </c>
      <c r="O26" s="15" t="inlineStr">
        <is>
          <t>Import</t>
        </is>
      </c>
      <c r="P26" s="38" t="n"/>
      <c r="Q26" s="15" t="inlineStr">
        <is>
          <t>To buy</t>
        </is>
      </c>
      <c r="R26" s="10" t="inlineStr">
        <is>
          <t>2: one per wheel, into the motor shaft's centre hole, with a washer under the head.</t>
        </is>
      </c>
    </row>
    <row r="27" ht="74" customHeight="1">
      <c r="A27" s="9" t="n">
        <v>15</v>
      </c>
      <c r="B27" s="10" t="inlineStr">
        <is>
          <t>M2 flat washer</t>
        </is>
      </c>
      <c r="C27" s="33" t="n"/>
      <c r="D27" s="10" t="inlineStr"/>
      <c r="E27" s="34" t="n">
        <v>2</v>
      </c>
      <c r="F27" s="9" t="inlineStr">
        <is>
          <t>pcs</t>
        </is>
      </c>
      <c r="G27" s="35">
        <f>E27*$D$4</f>
        <v/>
      </c>
      <c r="H27" s="34" t="n">
        <v>2</v>
      </c>
      <c r="I27" s="35">
        <f>G27+H27</f>
        <v/>
      </c>
      <c r="J27" s="34" t="n">
        <v>100</v>
      </c>
      <c r="K27" s="35">
        <f>IF(I27=0,0,ROUNDUP(I27/J27,0))</f>
        <v/>
      </c>
      <c r="L27" s="36" t="n">
        <v>1</v>
      </c>
      <c r="M27" s="37">
        <f>IF(Q27="Have already",0,K27*L27)</f>
        <v/>
      </c>
      <c r="N27" s="10" t="inlineStr">
        <is>
          <t>AliExpress</t>
        </is>
      </c>
      <c r="O27" s="15" t="inlineStr">
        <is>
          <t>Import</t>
        </is>
      </c>
      <c r="P27" s="38" t="n"/>
      <c r="Q27" s="15" t="inlineStr">
        <is>
          <t>To buy</t>
        </is>
      </c>
      <c r="R27" s="10" t="inlineStr">
        <is>
          <t>2: one under each wheel screw.</t>
        </is>
      </c>
    </row>
    <row r="28" ht="74" customHeight="1">
      <c r="A28" s="9" t="n">
        <v>16</v>
      </c>
      <c r="B28" s="10" t="inlineStr">
        <is>
          <t>M2 × 8 pan head screw</t>
        </is>
      </c>
      <c r="C28" s="33" t="n"/>
      <c r="D28" s="10" t="inlineStr"/>
      <c r="E28" s="34" t="n">
        <v>1</v>
      </c>
      <c r="F28" s="9" t="inlineStr">
        <is>
          <t>pcs</t>
        </is>
      </c>
      <c r="G28" s="35">
        <f>E28*$D$4</f>
        <v/>
      </c>
      <c r="H28" s="34" t="n">
        <v>1</v>
      </c>
      <c r="I28" s="35">
        <f>G28+H28</f>
        <v/>
      </c>
      <c r="J28" s="34" t="n">
        <v>50</v>
      </c>
      <c r="K28" s="35">
        <f>IF(I28=0,0,ROUNDUP(I28/J28,0))</f>
        <v/>
      </c>
      <c r="L28" s="36" t="n">
        <v>1.5</v>
      </c>
      <c r="M28" s="37">
        <f>IF(Q28="Have already",0,K28*L28)</f>
        <v/>
      </c>
      <c r="N28" s="10" t="inlineStr">
        <is>
          <t>AliExpress</t>
        </is>
      </c>
      <c r="O28" s="15" t="inlineStr">
        <is>
          <t>Import</t>
        </is>
      </c>
      <c r="P28" s="38" t="n"/>
      <c r="Q28" s="15" t="inlineStr">
        <is>
          <t>To buy</t>
        </is>
      </c>
      <c r="R28" s="10" t="inlineStr">
        <is>
          <t>1: shoulder servo horn centre screw, through the boom plate (the servo's own screw is too short).</t>
        </is>
      </c>
    </row>
    <row r="29" ht="74" customHeight="1">
      <c r="A29" s="9" t="n">
        <v>17</v>
      </c>
      <c r="B29" s="10" t="inlineStr">
        <is>
          <t>M2 × 5 pan head screw</t>
        </is>
      </c>
      <c r="C29" s="33" t="n"/>
      <c r="D29" s="10" t="inlineStr"/>
      <c r="E29" s="34" t="n">
        <v>2</v>
      </c>
      <c r="F29" s="9" t="inlineStr">
        <is>
          <t>pcs</t>
        </is>
      </c>
      <c r="G29" s="35">
        <f>E29*$D$4</f>
        <v/>
      </c>
      <c r="H29" s="34" t="n">
        <v>2</v>
      </c>
      <c r="I29" s="35">
        <f>G29+H29</f>
        <v/>
      </c>
      <c r="J29" s="34" t="n">
        <v>50</v>
      </c>
      <c r="K29" s="35">
        <f>IF(I29=0,0,ROUNDUP(I29/J29,0))</f>
        <v/>
      </c>
      <c r="L29" s="36" t="n">
        <v>1.5</v>
      </c>
      <c r="M29" s="37">
        <f>IF(Q29="Have already",0,K29*L29)</f>
        <v/>
      </c>
      <c r="N29" s="10" t="inlineStr">
        <is>
          <t>AliExpress</t>
        </is>
      </c>
      <c r="O29" s="15" t="inlineStr">
        <is>
          <t>Import</t>
        </is>
      </c>
      <c r="P29" s="38" t="n"/>
      <c r="Q29" s="15" t="inlineStr">
        <is>
          <t>To buy</t>
        </is>
      </c>
      <c r="R29" s="10" t="inlineStr">
        <is>
          <t>2: shoulder horn arm to the right boom plate.</t>
        </is>
      </c>
    </row>
    <row r="30" ht="74" customHeight="1">
      <c r="A30" s="9" t="n">
        <v>18</v>
      </c>
      <c r="B30" s="10" t="inlineStr">
        <is>
          <t>M2 × 4 pan head screw</t>
        </is>
      </c>
      <c r="C30" s="33" t="n"/>
      <c r="D30" s="10" t="inlineStr"/>
      <c r="E30" s="34" t="n">
        <v>3</v>
      </c>
      <c r="F30" s="9" t="inlineStr">
        <is>
          <t>pcs</t>
        </is>
      </c>
      <c r="G30" s="35">
        <f>E30*$D$4</f>
        <v/>
      </c>
      <c r="H30" s="34" t="n">
        <v>2</v>
      </c>
      <c r="I30" s="35">
        <f>G30+H30</f>
        <v/>
      </c>
      <c r="J30" s="34" t="n">
        <v>50</v>
      </c>
      <c r="K30" s="35">
        <f>IF(I30=0,0,ROUNDUP(I30/J30,0))</f>
        <v/>
      </c>
      <c r="L30" s="36" t="n">
        <v>1.5</v>
      </c>
      <c r="M30" s="37">
        <f>IF(Q30="Have already",0,K30*L30)</f>
        <v/>
      </c>
      <c r="N30" s="10" t="inlineStr">
        <is>
          <t>AliExpress</t>
        </is>
      </c>
      <c r="O30" s="15" t="inlineStr">
        <is>
          <t>Import</t>
        </is>
      </c>
      <c r="P30" s="38" t="n"/>
      <c r="Q30" s="15" t="inlineStr">
        <is>
          <t>To buy</t>
        </is>
      </c>
      <c r="R30" s="10" t="inlineStr">
        <is>
          <t>3: gripper horn: centre screw into the servo + 2 through the horn arm into the driven jaw.</t>
        </is>
      </c>
    </row>
    <row r="31" ht="74" customHeight="1">
      <c r="A31" s="9" t="n">
        <v>19</v>
      </c>
      <c r="B31" s="10" t="inlineStr">
        <is>
          <t>M3 × 10 socket head screw</t>
        </is>
      </c>
      <c r="C31" s="33" t="n"/>
      <c r="D31" s="10" t="inlineStr"/>
      <c r="E31" s="34" t="n">
        <v>2</v>
      </c>
      <c r="F31" s="9" t="inlineStr">
        <is>
          <t>pcs</t>
        </is>
      </c>
      <c r="G31" s="35">
        <f>E31*$D$4</f>
        <v/>
      </c>
      <c r="H31" s="34" t="n">
        <v>2</v>
      </c>
      <c r="I31" s="35">
        <f>G31+H31</f>
        <v/>
      </c>
      <c r="J31" s="34" t="n">
        <v>50</v>
      </c>
      <c r="K31" s="35">
        <f>IF(I31=0,0,ROUNDUP(I31/J31,0))</f>
        <v/>
      </c>
      <c r="L31" s="36" t="n">
        <v>1.5</v>
      </c>
      <c r="M31" s="37">
        <f>IF(Q31="Have already",0,K31*L31)</f>
        <v/>
      </c>
      <c r="N31" s="10" t="inlineStr">
        <is>
          <t>AliExpress</t>
        </is>
      </c>
      <c r="O31" s="15" t="inlineStr">
        <is>
          <t>Import</t>
        </is>
      </c>
      <c r="P31" s="38" t="n"/>
      <c r="Q31" s="15" t="inlineStr">
        <is>
          <t>To buy</t>
        </is>
      </c>
      <c r="R31" s="10" t="inlineStr">
        <is>
          <t>2: through the arm base and sonar bracket into the dock-tower inserts (M3 × 8 if you build without the arm).</t>
        </is>
      </c>
    </row>
    <row r="32" ht="74" customHeight="1">
      <c r="A32" s="9" t="n">
        <v>20</v>
      </c>
      <c r="B32" s="10" t="inlineStr">
        <is>
          <t>M3 × 8 pan head self-tapping screw</t>
        </is>
      </c>
      <c r="C32" s="33" t="n"/>
      <c r="D32" s="10" t="inlineStr"/>
      <c r="E32" s="34" t="n">
        <v>1</v>
      </c>
      <c r="F32" s="9" t="inlineStr">
        <is>
          <t>pcs</t>
        </is>
      </c>
      <c r="G32" s="35">
        <f>E32*$D$4</f>
        <v/>
      </c>
      <c r="H32" s="34" t="n">
        <v>1</v>
      </c>
      <c r="I32" s="35">
        <f>G32+H32</f>
        <v/>
      </c>
      <c r="J32" s="34" t="n">
        <v>50</v>
      </c>
      <c r="K32" s="35">
        <f>IF(I32=0,0,ROUNDUP(I32/J32,0))</f>
        <v/>
      </c>
      <c r="L32" s="36" t="n">
        <v>1.5</v>
      </c>
      <c r="M32" s="37">
        <f>IF(Q32="Have already",0,K32*L32)</f>
        <v/>
      </c>
      <c r="N32" s="10" t="inlineStr">
        <is>
          <t>AliExpress</t>
        </is>
      </c>
      <c r="O32" s="15" t="inlineStr">
        <is>
          <t>Import</t>
        </is>
      </c>
      <c r="P32" s="38" t="n"/>
      <c r="Q32" s="15" t="inlineStr">
        <is>
          <t>To buy</t>
        </is>
      </c>
      <c r="R32" s="10" t="inlineStr">
        <is>
          <t>1: pivot of the idle (right) jaw; self-taps into the arm.</t>
        </is>
      </c>
    </row>
    <row r="33" ht="74" customHeight="1">
      <c r="A33" s="9" t="n">
        <v>21</v>
      </c>
      <c r="B33" s="10" t="inlineStr">
        <is>
          <t>M3 × 8 thumb screw (knurled head)</t>
        </is>
      </c>
      <c r="C33" s="33" t="n"/>
      <c r="D33" s="10" t="inlineStr"/>
      <c r="E33" s="34" t="n">
        <v>3</v>
      </c>
      <c r="F33" s="9" t="inlineStr">
        <is>
          <t>pcs</t>
        </is>
      </c>
      <c r="G33" s="35">
        <f>E33*$D$4</f>
        <v/>
      </c>
      <c r="H33" s="34" t="n">
        <v>1</v>
      </c>
      <c r="I33" s="35">
        <f>G33+H33</f>
        <v/>
      </c>
      <c r="J33" s="34" t="n">
        <v>20</v>
      </c>
      <c r="K33" s="35">
        <f>IF(I33=0,0,ROUNDUP(I33/J33,0))</f>
        <v/>
      </c>
      <c r="L33" s="36" t="n">
        <v>3</v>
      </c>
      <c r="M33" s="37">
        <f>IF(Q33="Have already",0,K33*L33)</f>
        <v/>
      </c>
      <c r="N33" s="10" t="inlineStr">
        <is>
          <t>AliExpress</t>
        </is>
      </c>
      <c r="O33" s="15" t="inlineStr">
        <is>
          <t>Import</t>
        </is>
      </c>
      <c r="P33" s="38" t="n"/>
      <c r="Q33" s="15" t="inlineStr">
        <is>
          <t>To buy</t>
        </is>
      </c>
      <c r="R33" s="10" t="inlineStr">
        <is>
          <t>3: one each on the bus clip and the 2 ballast clips; it presses on the deck and locks the clip.</t>
        </is>
      </c>
    </row>
    <row r="34" ht="74" customHeight="1">
      <c r="A34" s="9" t="n">
        <v>22</v>
      </c>
      <c r="B34" s="10" t="inlineStr">
        <is>
          <t>M8 hex nut</t>
        </is>
      </c>
      <c r="C34" s="33" t="n"/>
      <c r="D34" s="10" t="inlineStr">
        <is>
          <t>Plain steel, about 5 g each</t>
        </is>
      </c>
      <c r="E34" s="34" t="n">
        <v>6</v>
      </c>
      <c r="F34" s="9" t="inlineStr">
        <is>
          <t>pcs</t>
        </is>
      </c>
      <c r="G34" s="35">
        <f>E34*$D$4</f>
        <v/>
      </c>
      <c r="H34" s="34" t="n">
        <v>0</v>
      </c>
      <c r="I34" s="35">
        <f>G34+H34</f>
        <v/>
      </c>
      <c r="J34" s="34" t="n">
        <v>1</v>
      </c>
      <c r="K34" s="35">
        <f>IF(I34=0,0,ROUNDUP(I34/J34,0))</f>
        <v/>
      </c>
      <c r="L34" s="36" t="n">
        <v>0.1</v>
      </c>
      <c r="M34" s="37">
        <f>IF(Q34="Have already",0,K34*L34)</f>
        <v/>
      </c>
      <c r="N34" s="10" t="inlineStr">
        <is>
          <t>Local hardware shop</t>
        </is>
      </c>
      <c r="O34" s="15" t="inlineStr">
        <is>
          <t>Local</t>
        </is>
      </c>
      <c r="P34" s="38" t="n"/>
      <c r="Q34" s="15" t="inlineStr">
        <is>
          <t>To buy</t>
        </is>
      </c>
      <c r="R34" s="10" t="inlineStr">
        <is>
          <t>6: 3 in each ballast clip on the rear wall. Needed when the arm is fitted.</t>
        </is>
      </c>
    </row>
    <row r="35" ht="74" customHeight="1">
      <c r="A35" s="9" t="n">
        <v>23</v>
      </c>
      <c r="B35" s="10" t="inlineStr">
        <is>
          <t>½" (12.7 mm) steel ball</t>
        </is>
      </c>
      <c r="C35" s="33" t="n"/>
      <c r="D35" s="10" t="inlineStr">
        <is>
          <t>Bearing balls or slingshot ammo; 12.7 mm glass marbles also work</t>
        </is>
      </c>
      <c r="E35" s="34" t="n">
        <v>2</v>
      </c>
      <c r="F35" s="9" t="inlineStr">
        <is>
          <t>pcs</t>
        </is>
      </c>
      <c r="G35" s="35">
        <f>E35*$D$4</f>
        <v/>
      </c>
      <c r="H35" s="34" t="n">
        <v>2</v>
      </c>
      <c r="I35" s="35">
        <f>G35+H35</f>
        <v/>
      </c>
      <c r="J35" s="34" t="n">
        <v>20</v>
      </c>
      <c r="K35" s="35">
        <f>IF(I35=0,0,ROUNDUP(I35/J35,0))</f>
        <v/>
      </c>
      <c r="L35" s="36" t="n">
        <v>3</v>
      </c>
      <c r="M35" s="37">
        <f>IF(Q35="Have already",0,K35*L35)</f>
        <v/>
      </c>
      <c r="N35" s="10" t="inlineStr">
        <is>
          <t>AliExpress / local bearing shop</t>
        </is>
      </c>
      <c r="O35" s="15" t="inlineStr">
        <is>
          <t>Import</t>
        </is>
      </c>
      <c r="P35" s="38" t="n"/>
      <c r="Q35" s="15" t="inlineStr">
        <is>
          <t>To buy</t>
        </is>
      </c>
      <c r="R35" s="10" t="inlineStr">
        <is>
          <t>2: rear casters, press-fit.</t>
        </is>
      </c>
    </row>
    <row r="36">
      <c r="A36" s="7" t="inlineStr">
        <is>
          <t>3D printing filament (grams, from the Printed parts sheet)</t>
        </is>
      </c>
      <c r="B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</row>
    <row r="37" ht="74" customHeight="1">
      <c r="A37" s="9" t="n">
        <v>24</v>
      </c>
      <c r="B37" s="10" t="inlineStr">
        <is>
          <t>PETG filament, yellow</t>
        </is>
      </c>
      <c r="C37" s="33" t="n"/>
      <c r="D37" s="10" t="inlineStr">
        <is>
          <t>1 kg spool</t>
        </is>
      </c>
      <c r="E37" s="39">
        <f>'Printed parts'!C24</f>
        <v/>
      </c>
      <c r="F37" s="9" t="inlineStr">
        <is>
          <t>g</t>
        </is>
      </c>
      <c r="G37" s="35">
        <f>E37*$D$4</f>
        <v/>
      </c>
      <c r="H37" s="39">
        <f>'Printed parts'!D24</f>
        <v/>
      </c>
      <c r="I37" s="35">
        <f>G37+H37</f>
        <v/>
      </c>
      <c r="J37" s="34" t="n">
        <v>1000</v>
      </c>
      <c r="K37" s="35">
        <f>IF(I37=0,0,ROUNDUP(I37/J37,0))</f>
        <v/>
      </c>
      <c r="L37" s="36" t="n">
        <v>20</v>
      </c>
      <c r="M37" s="37">
        <f>IF(Q37="Have already",0,K37*L37)</f>
        <v/>
      </c>
      <c r="N37" s="10" t="inlineStr">
        <is>
          <t>Local / Bambu store</t>
        </is>
      </c>
      <c r="O37" s="15" t="inlineStr">
        <is>
          <t>Local</t>
        </is>
      </c>
      <c r="P37" s="38" t="n"/>
      <c r="Q37" s="15" t="inlineStr">
        <is>
          <t>To buy</t>
        </is>
      </c>
      <c r="R37" s="10" t="inlineStr">
        <is>
          <t>Chassis, sonar pod, arm and arm base.</t>
        </is>
      </c>
    </row>
    <row r="38" ht="74" customHeight="1">
      <c r="A38" s="9" t="n">
        <v>25</v>
      </c>
      <c r="B38" s="10" t="inlineStr">
        <is>
          <t>PETG filament, black</t>
        </is>
      </c>
      <c r="C38" s="33" t="n"/>
      <c r="D38" s="10" t="inlineStr">
        <is>
          <t>1 kg spool</t>
        </is>
      </c>
      <c r="E38" s="39">
        <f>'Printed parts'!C25</f>
        <v/>
      </c>
      <c r="F38" s="9" t="inlineStr">
        <is>
          <t>g</t>
        </is>
      </c>
      <c r="G38" s="35">
        <f>E38*$D$4</f>
        <v/>
      </c>
      <c r="H38" s="39">
        <f>'Printed parts'!D25</f>
        <v/>
      </c>
      <c r="I38" s="35">
        <f>G38+H38</f>
        <v/>
      </c>
      <c r="J38" s="34" t="n">
        <v>1000</v>
      </c>
      <c r="K38" s="35">
        <f>IF(I38=0,0,ROUNDUP(I38/J38,0))</f>
        <v/>
      </c>
      <c r="L38" s="36" t="n">
        <v>20</v>
      </c>
      <c r="M38" s="37">
        <f>IF(Q38="Have already",0,K38*L38)</f>
        <v/>
      </c>
      <c r="N38" s="10" t="inlineStr">
        <is>
          <t>Local / Bambu store</t>
        </is>
      </c>
      <c r="O38" s="15" t="inlineStr">
        <is>
          <t>Local</t>
        </is>
      </c>
      <c r="P38" s="38" t="n"/>
      <c r="Q38" s="15" t="inlineStr">
        <is>
          <t>To buy</t>
        </is>
      </c>
      <c r="R38" s="10" t="inlineStr">
        <is>
          <t>Line sled, jaws, clips, test pieces. Mark 'Have already' if you have black.</t>
        </is>
      </c>
    </row>
    <row r="39" ht="74" customHeight="1">
      <c r="A39" s="9" t="n">
        <v>26</v>
      </c>
      <c r="B39" s="10" t="inlineStr">
        <is>
          <t>PETG filament, dark teal</t>
        </is>
      </c>
      <c r="C39" s="33" t="n"/>
      <c r="D39" s="10" t="inlineStr">
        <is>
          <t>1 kg spool</t>
        </is>
      </c>
      <c r="E39" s="39">
        <f>'Printed parts'!C26</f>
        <v/>
      </c>
      <c r="F39" s="9" t="inlineStr">
        <is>
          <t>g</t>
        </is>
      </c>
      <c r="G39" s="35">
        <f>E39*$D$4</f>
        <v/>
      </c>
      <c r="H39" s="39">
        <f>'Printed parts'!D26</f>
        <v/>
      </c>
      <c r="I39" s="35">
        <f>G39+H39</f>
        <v/>
      </c>
      <c r="J39" s="34" t="n">
        <v>1000</v>
      </c>
      <c r="K39" s="35">
        <f>IF(I39=0,0,ROUNDUP(I39/J39,0))</f>
        <v/>
      </c>
      <c r="L39" s="36" t="n">
        <v>20</v>
      </c>
      <c r="M39" s="37">
        <f>IF(Q39="Have already",0,K39*L39)</f>
        <v/>
      </c>
      <c r="N39" s="10" t="inlineStr">
        <is>
          <t>Local / Bambu store</t>
        </is>
      </c>
      <c r="O39" s="15" t="inlineStr">
        <is>
          <t>Local</t>
        </is>
      </c>
      <c r="P39" s="38" t="n"/>
      <c r="Q39" s="15" t="inlineStr">
        <is>
          <t>To buy</t>
        </is>
      </c>
      <c r="R39" s="10" t="inlineStr">
        <is>
          <t>Wheels only. Print them black instead to skip this spool.</t>
        </is>
      </c>
    </row>
    <row r="40" ht="74" customHeight="1">
      <c r="A40" s="9" t="n">
        <v>27</v>
      </c>
      <c r="B40" s="10" t="inlineStr">
        <is>
          <t>TPU 95A filament, black</t>
        </is>
      </c>
      <c r="C40" s="33" t="n"/>
      <c r="D40" s="10" t="inlineStr">
        <is>
          <t>250–1000 g spool</t>
        </is>
      </c>
      <c r="E40" s="39">
        <f>'Printed parts'!C27</f>
        <v/>
      </c>
      <c r="F40" s="9" t="inlineStr">
        <is>
          <t>g</t>
        </is>
      </c>
      <c r="G40" s="35">
        <f>E40*$D$4</f>
        <v/>
      </c>
      <c r="H40" s="39">
        <f>'Printed parts'!D27</f>
        <v/>
      </c>
      <c r="I40" s="35">
        <f>G40+H40</f>
        <v/>
      </c>
      <c r="J40" s="34" t="n">
        <v>1000</v>
      </c>
      <c r="K40" s="35">
        <f>IF(I40=0,0,ROUNDUP(I40/J40,0))</f>
        <v/>
      </c>
      <c r="L40" s="36" t="n">
        <v>25</v>
      </c>
      <c r="M40" s="37">
        <f>IF(Q40="Have already",0,K40*L40)</f>
        <v/>
      </c>
      <c r="N40" s="10" t="inlineStr">
        <is>
          <t>Local / Bambu store</t>
        </is>
      </c>
      <c r="O40" s="15" t="inlineStr">
        <is>
          <t>Local</t>
        </is>
      </c>
      <c r="P40" s="38" t="n"/>
      <c r="Q40" s="15" t="inlineStr">
        <is>
          <t>To buy</t>
        </is>
      </c>
      <c r="R40" s="10" t="inlineStr">
        <is>
          <t>Tyres only; about 25 g needed, so a small spool is enough.</t>
        </is>
      </c>
    </row>
    <row r="41">
      <c r="A41" s="7" t="inlineStr">
        <is>
          <t>Packaging (optional)</t>
        </is>
      </c>
      <c r="B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</row>
    <row r="42" ht="74" customHeight="1">
      <c r="A42" s="9" t="n">
        <v>28</v>
      </c>
      <c r="B42" s="10" t="inlineStr">
        <is>
          <t>Mailer box + printed quick-start guide</t>
        </is>
      </c>
      <c r="C42" s="33" t="n"/>
      <c r="D42" s="10" t="inlineStr">
        <is>
          <t>Design in mech/robot/packaging (273 × 203 × 83 mm outer)</t>
        </is>
      </c>
      <c r="E42" s="34" t="n">
        <v>1</v>
      </c>
      <c r="F42" s="9" t="inlineStr">
        <is>
          <t>pcs</t>
        </is>
      </c>
      <c r="G42" s="35">
        <f>E42*$D$4</f>
        <v/>
      </c>
      <c r="H42" s="34" t="n">
        <v>0</v>
      </c>
      <c r="I42" s="35">
        <f>G42+H42</f>
        <v/>
      </c>
      <c r="J42" s="34" t="n">
        <v>1</v>
      </c>
      <c r="K42" s="35">
        <f>IF(I42=0,0,ROUNDUP(I42/J42,0))</f>
        <v/>
      </c>
      <c r="L42" s="36" t="n">
        <v>2</v>
      </c>
      <c r="M42" s="37">
        <f>IF(Q42="Have already",0,K42*L42)</f>
        <v/>
      </c>
      <c r="N42" s="10" t="inlineStr">
        <is>
          <t>Local print shop</t>
        </is>
      </c>
      <c r="O42" s="15" t="inlineStr">
        <is>
          <t>Local</t>
        </is>
      </c>
      <c r="P42" s="38" t="n"/>
      <c r="Q42" s="15" t="inlineStr">
        <is>
          <t>To buy</t>
        </is>
      </c>
      <c r="R42" s="10" t="inlineStr">
        <is>
          <t>Estimate from the costing model.</t>
        </is>
      </c>
    </row>
    <row r="43">
      <c r="A43" s="7" t="inlineStr">
        <is>
          <t>Shipping (estimates; replace with the checkout price)</t>
        </is>
      </c>
      <c r="B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</row>
    <row r="44">
      <c r="A44" s="9" t="n">
        <v>29</v>
      </c>
      <c r="B44" s="10" t="inlineStr">
        <is>
          <t>Shipping: SparkFun order (motors)</t>
        </is>
      </c>
      <c r="C44" s="40" t="inlineStr">
        <is>
          <t>—</t>
        </is>
      </c>
      <c r="D44" s="10" t="inlineStr">
        <is>
          <t>Courier to Zambia</t>
        </is>
      </c>
      <c r="E44" s="34" t="n">
        <v>0</v>
      </c>
      <c r="F44" s="9" t="inlineStr">
        <is>
          <t>order</t>
        </is>
      </c>
      <c r="G44" s="35">
        <f>E44*$D$4</f>
        <v/>
      </c>
      <c r="H44" s="34" t="n">
        <v>1</v>
      </c>
      <c r="I44" s="35">
        <f>G44+H44</f>
        <v/>
      </c>
      <c r="J44" s="34" t="n">
        <v>1</v>
      </c>
      <c r="K44" s="35">
        <f>IF(I44=0,0,ROUNDUP(I44/J44,0))</f>
        <v/>
      </c>
      <c r="L44" s="36" t="n">
        <v>50</v>
      </c>
      <c r="M44" s="37">
        <f>IF(Q44="Have already",0,K44*L44)</f>
        <v/>
      </c>
      <c r="N44" s="10" t="inlineStr">
        <is>
          <t>SparkFun</t>
        </is>
      </c>
      <c r="O44" s="15" t="inlineStr">
        <is>
          <t>Import</t>
        </is>
      </c>
      <c r="P44" s="38" t="n"/>
      <c r="Q44" s="15" t="inlineStr">
        <is>
          <t>To buy</t>
        </is>
      </c>
      <c r="R44" s="10" t="inlineStr">
        <is>
          <t>Estimate. The courier may also bill VAT/duty on delivery (covered by the allowance below).</t>
        </is>
      </c>
    </row>
    <row r="45">
      <c r="A45" s="9" t="n">
        <v>30</v>
      </c>
      <c r="B45" s="10" t="inlineStr">
        <is>
          <t>Shipping: AliExpress orders</t>
        </is>
      </c>
      <c r="C45" s="40" t="inlineStr">
        <is>
          <t>—</t>
        </is>
      </c>
      <c r="D45" s="10" t="inlineStr">
        <is>
          <t>All AliExpress parts</t>
        </is>
      </c>
      <c r="E45" s="34" t="n">
        <v>0</v>
      </c>
      <c r="F45" s="9" t="inlineStr">
        <is>
          <t>order</t>
        </is>
      </c>
      <c r="G45" s="35">
        <f>E45*$D$4</f>
        <v/>
      </c>
      <c r="H45" s="34" t="n">
        <v>1</v>
      </c>
      <c r="I45" s="35">
        <f>G45+H45</f>
        <v/>
      </c>
      <c r="J45" s="34" t="n">
        <v>1</v>
      </c>
      <c r="K45" s="35">
        <f>IF(I45=0,0,ROUNDUP(I45/J45,0))</f>
        <v/>
      </c>
      <c r="L45" s="36" t="n">
        <v>10</v>
      </c>
      <c r="M45" s="37">
        <f>IF(Q45="Have already",0,K45*L45)</f>
        <v/>
      </c>
      <c r="N45" s="10" t="inlineStr">
        <is>
          <t>AliExpress</t>
        </is>
      </c>
      <c r="O45" s="15" t="inlineStr">
        <is>
          <t>Import</t>
        </is>
      </c>
      <c r="P45" s="38" t="n"/>
      <c r="Q45" s="15" t="inlineStr">
        <is>
          <t>To buy</t>
        </is>
      </c>
      <c r="R45" s="10" t="inlineStr">
        <is>
          <t>Estimate. Many stores ship free above a minimum order.</t>
        </is>
      </c>
    </row>
    <row r="46">
      <c r="A46" s="7" t="inlineStr">
        <is>
          <t>Tools (one-off; skip what you have)</t>
        </is>
      </c>
      <c r="B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</row>
    <row r="47" ht="74" customHeight="1">
      <c r="A47" s="9" t="n">
        <v>31</v>
      </c>
      <c r="B47" s="10" t="inlineStr">
        <is>
          <t>Heat-set insert tips for the soldering iron</t>
        </is>
      </c>
      <c r="C47" s="33" t="n"/>
      <c r="D47" s="10" t="inlineStr">
        <is>
          <t>M2 and M3 tips to fit your iron</t>
        </is>
      </c>
      <c r="E47" s="34" t="n">
        <v>0</v>
      </c>
      <c r="F47" s="9" t="inlineStr">
        <is>
          <t>set</t>
        </is>
      </c>
      <c r="G47" s="35">
        <f>E47*$D$4</f>
        <v/>
      </c>
      <c r="H47" s="34" t="n">
        <v>1</v>
      </c>
      <c r="I47" s="35">
        <f>G47+H47</f>
        <v/>
      </c>
      <c r="J47" s="34" t="n">
        <v>1</v>
      </c>
      <c r="K47" s="35">
        <f>IF(I47=0,0,ROUNDUP(I47/J47,0))</f>
        <v/>
      </c>
      <c r="L47" s="36" t="n">
        <v>5</v>
      </c>
      <c r="M47" s="37">
        <f>IF(Q47="Have already",0,K47*L47)</f>
        <v/>
      </c>
      <c r="N47" s="10" t="inlineStr">
        <is>
          <t>AliExpress</t>
        </is>
      </c>
      <c r="O47" s="15" t="inlineStr">
        <is>
          <t>Import</t>
        </is>
      </c>
      <c r="P47" s="38" t="n"/>
      <c r="Q47" s="15" t="inlineStr">
        <is>
          <t>Have already</t>
        </is>
      </c>
      <c r="R47" s="10" t="inlineStr">
        <is>
          <t>Set to 'To buy' if your iron has none. Also used: soldering iron, multimeter (to match the cells).</t>
        </is>
      </c>
    </row>
    <row r="48"/>
    <row r="49">
      <c r="B49" s="18" t="inlineStr">
        <is>
          <t>Summary</t>
        </is>
      </c>
    </row>
    <row r="50">
      <c r="B50" s="3" t="inlineStr">
        <is>
          <t>Estimated cost, all lines</t>
        </is>
      </c>
      <c r="M50" s="41">
        <f>SUM(M8:M47)</f>
        <v/>
      </c>
      <c r="N50" s="2" t="inlineStr">
        <is>
          <t>Everything above at the estimated prices.</t>
        </is>
      </c>
    </row>
    <row r="51">
      <c r="B51" s="20" t="inlineStr">
        <is>
          <t xml:space="preserve">  of which: controller boards (PCBWay)</t>
        </is>
      </c>
      <c r="M51" s="42">
        <f>M9</f>
        <v/>
      </c>
      <c r="N51" s="2" t="inlineStr">
        <is>
          <t>Already quoted.</t>
        </is>
      </c>
    </row>
    <row r="52">
      <c r="B52" s="20" t="inlineStr">
        <is>
          <t xml:space="preserve">  of which: everything else</t>
        </is>
      </c>
      <c r="M52" s="42">
        <f>M50-M51</f>
        <v/>
      </c>
      <c r="N52" s="2" t="inlineStr">
        <is>
          <t>What this list still has to buy.</t>
        </is>
      </c>
    </row>
    <row r="53">
      <c r="B53" s="20" t="inlineStr">
        <is>
          <t>Import VAT + duty allowance</t>
        </is>
      </c>
      <c r="M53" s="42">
        <f>SUMIF(O8:O47,"Import",M8:M47)*$D$5</f>
        <v/>
      </c>
      <c r="N53" s="2" t="inlineStr">
        <is>
          <t>Allowance rate (C5) × lines marked Import.</t>
        </is>
      </c>
    </row>
    <row r="54">
      <c r="B54" s="3" t="inlineStr">
        <is>
          <t>Estimated total, landed</t>
        </is>
      </c>
      <c r="M54" s="43">
        <f>M50+M53</f>
        <v/>
      </c>
      <c r="N54" s="2" t="inlineStr"/>
    </row>
    <row r="55">
      <c r="B55" s="3" t="inlineStr">
        <is>
          <t>Per robot</t>
        </is>
      </c>
      <c r="M55" s="43">
        <f>IF($D$4=0,0,M54/$D$4)</f>
        <v/>
      </c>
      <c r="N55" s="2" t="inlineStr">
        <is>
          <t>Before labour (about 1.5 h per robot to assemble and test).</t>
        </is>
      </c>
    </row>
    <row r="56">
      <c r="B56" s="20" t="inlineStr">
        <is>
          <t>Actually paid so far</t>
        </is>
      </c>
      <c r="M56" s="42">
        <f>SUM(P8:P47)</f>
        <v/>
      </c>
      <c r="N56" s="2" t="inlineStr">
        <is>
          <t>From the yellow 'Actual paid' column.</t>
        </is>
      </c>
    </row>
    <row r="57">
      <c r="B57" s="20" t="inlineStr">
        <is>
          <t>Lines still 'To buy'</t>
        </is>
      </c>
      <c r="M57" s="44">
        <f>COUNTIF(Q8:Q47,"To buy")</f>
        <v/>
      </c>
      <c r="N57" s="2" t="inlineStr"/>
    </row>
    <row r="58"/>
    <row r="59">
      <c r="B59" s="18" t="inlineStr">
        <is>
          <t>Cost by section (estimate)</t>
        </is>
      </c>
    </row>
    <row r="60">
      <c r="B60" s="20" t="inlineStr">
        <is>
          <t>Controller board (on order at PCBWay)</t>
        </is>
      </c>
      <c r="M60" s="42">
        <f>SUM(M9:M9)</f>
        <v/>
      </c>
    </row>
    <row r="61">
      <c r="B61" s="20" t="inlineStr">
        <is>
          <t>Motors, sensors and servos</t>
        </is>
      </c>
      <c r="M61" s="42">
        <f>SUM(M11:M14)</f>
        <v/>
      </c>
    </row>
    <row r="62">
      <c r="B62" s="20" t="inlineStr">
        <is>
          <t>Battery and power</t>
        </is>
      </c>
      <c r="M62" s="42">
        <f>SUM(M16:M18)</f>
        <v/>
      </c>
    </row>
    <row r="63">
      <c r="B63" s="20" t="inlineStr">
        <is>
          <t>Cables</t>
        </is>
      </c>
      <c r="M63" s="42">
        <f>SUM(M20:M21)</f>
        <v/>
      </c>
    </row>
    <row r="64">
      <c r="B64" s="20" t="inlineStr">
        <is>
          <t>Screws, inserts and small hardware (with the arm and one bus clip)</t>
        </is>
      </c>
      <c r="M64" s="42">
        <f>SUM(M23:M35)</f>
        <v/>
      </c>
    </row>
    <row r="65">
      <c r="B65" s="20" t="inlineStr">
        <is>
          <t>3D printing filament (grams, from the Printed parts sheet)</t>
        </is>
      </c>
      <c r="M65" s="42">
        <f>SUM(M37:M40)</f>
        <v/>
      </c>
    </row>
    <row r="66">
      <c r="B66" s="20" t="inlineStr">
        <is>
          <t>Packaging (optional)</t>
        </is>
      </c>
      <c r="M66" s="42">
        <f>SUM(M42:M42)</f>
        <v/>
      </c>
    </row>
    <row r="67">
      <c r="B67" s="20" t="inlineStr">
        <is>
          <t>Shipping (estimates; replace with the checkout price)</t>
        </is>
      </c>
      <c r="M67" s="42">
        <f>SUM(M44:M45)</f>
        <v/>
      </c>
    </row>
    <row r="68">
      <c r="B68" s="20" t="inlineStr">
        <is>
          <t>Tools (one-off; skip what you have)</t>
        </is>
      </c>
      <c r="M68" s="42">
        <f>SUM(M47:M47)</f>
        <v/>
      </c>
    </row>
    <row r="69"/>
    <row r="70"/>
    <row r="71"/>
    <row r="72"/>
    <row r="73"/>
  </sheetData>
  <autoFilter ref="A7:R47"/>
  <conditionalFormatting sqref="Q8:Q47">
    <cfRule type="cellIs" priority="1" operator="equal" dxfId="0">
      <formula>"Received"</formula>
    </cfRule>
    <cfRule type="cellIs" priority="2" operator="equal" dxfId="0">
      <formula>"Have already"</formula>
    </cfRule>
    <cfRule type="cellIs" priority="3" operator="equal" dxfId="1">
      <formula>"Ordered"</formula>
    </cfRule>
    <cfRule type="cellIs" priority="4" operator="equal" dxfId="1">
      <formula>"Quoted"</formula>
    </cfRule>
  </conditionalFormatting>
  <dataValidations count="2">
    <dataValidation sqref="Q8:Q47" showDropDown="0" showInputMessage="0" showErrorMessage="0" allowBlank="1" type="list">
      <formula1>"To buy,Quoted,Ordered,Received,Have already"</formula1>
    </dataValidation>
    <dataValidation sqref="O8:O47" showDropDown="0" showInputMessage="0" showErrorMessage="0" allowBlank="0" type="list">
      <formula1>"Import,Local"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0"/>
  <sheetViews>
    <sheetView zoomScale="11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10" customWidth="1" min="3" max="3"/>
    <col width="12" customWidth="1" min="4" max="4"/>
    <col width="11" customWidth="1" min="5" max="5"/>
    <col width="11" customWidth="1" min="6" max="6"/>
    <col width="11" customWidth="1" min="7" max="7"/>
    <col width="12" customWidth="1" min="8" max="8"/>
    <col width="11" customWidth="1" min="9" max="9"/>
    <col width="13" customWidth="1" min="10" max="10"/>
    <col width="60" customWidth="1" min="11" max="11"/>
  </cols>
  <sheetData>
    <row r="1">
      <c r="A1" s="1" t="inlineStr">
        <is>
          <t>RoboCore V2: 3D-printed parts and filament</t>
        </is>
      </c>
    </row>
    <row r="2">
      <c r="A2" s="2" t="inlineStr">
        <is>
          <t>Masses from the shell/infill model in fusion/checks.py (mech/robot/README.md, rev 5). Files: mech/robot/print/, already in print orientation.</t>
        </is>
      </c>
    </row>
    <row r="3">
      <c r="A3" s="3" t="inlineStr">
        <is>
          <t>Robots to build</t>
        </is>
      </c>
      <c r="C3" s="24">
        <f>'Component list'!D4</f>
        <v/>
      </c>
    </row>
    <row r="4">
      <c r="A4" s="3" t="inlineStr">
        <is>
          <t>Waste allowance (brim, purge, failed prints)</t>
        </is>
      </c>
      <c r="C4" s="25" t="n">
        <v>0.15</v>
      </c>
    </row>
    <row r="5"/>
    <row r="6">
      <c r="A6" s="6" t="inlineStr">
        <is>
          <t>Part</t>
        </is>
      </c>
      <c r="B6" s="6" t="inlineStr">
        <is>
          <t>Print file</t>
        </is>
      </c>
      <c r="C6" s="6" t="inlineStr">
        <is>
          <t>Per robot</t>
        </is>
      </c>
      <c r="D6" s="6" t="inlineStr">
        <is>
          <t>One-off (test pieces)</t>
        </is>
      </c>
      <c r="E6" s="6" t="inlineStr">
        <is>
          <t>Material</t>
        </is>
      </c>
      <c r="F6" s="6" t="inlineStr">
        <is>
          <t>Colour</t>
        </is>
      </c>
      <c r="G6" s="6" t="inlineStr">
        <is>
          <t>Mass each (g)</t>
        </is>
      </c>
      <c r="H6" s="6" t="inlineStr">
        <is>
          <t>Per robot (g)</t>
        </is>
      </c>
      <c r="I6" s="6" t="inlineStr">
        <is>
          <t>One-off (g)</t>
        </is>
      </c>
      <c r="J6" s="6" t="inlineStr">
        <is>
          <t>All robots (g)</t>
        </is>
      </c>
      <c r="K6" s="6" t="inlineStr">
        <is>
          <t>Notes</t>
        </is>
      </c>
    </row>
    <row r="7">
      <c r="A7" s="10" t="inlineStr">
        <is>
          <t>Chassis</t>
        </is>
      </c>
      <c r="B7" s="10" t="inlineStr">
        <is>
          <t>RoboCore_V2_Chassis.3mf</t>
        </is>
      </c>
      <c r="C7" s="15" t="n">
        <v>1</v>
      </c>
      <c r="D7" s="15" t="n">
        <v>0</v>
      </c>
      <c r="E7" s="9" t="inlineStr">
        <is>
          <t>PETG</t>
        </is>
      </c>
      <c r="F7" s="15" t="inlineStr">
        <is>
          <t>Yellow</t>
        </is>
      </c>
      <c r="G7" s="45" t="n">
        <v>133</v>
      </c>
      <c r="H7" s="46">
        <f>C7*G7</f>
        <v/>
      </c>
      <c r="I7" s="46">
        <f>D7*G7</f>
        <v/>
      </c>
      <c r="J7" s="46">
        <f>H7*$C$3+I7</f>
        <v/>
      </c>
      <c r="K7" s="10" t="inlineStr">
        <is>
          <t>Deck (top) down. About 9–11 h on an A1 mini. Brim 5 mm if the corners lift</t>
        </is>
      </c>
    </row>
    <row r="8">
      <c r="A8" s="10" t="inlineStr">
        <is>
          <t>Line sled</t>
        </is>
      </c>
      <c r="B8" s="10" t="inlineStr">
        <is>
          <t>RoboCore_V2_Line_sled_10.5.3mf</t>
        </is>
      </c>
      <c r="C8" s="15" t="n">
        <v>1</v>
      </c>
      <c r="D8" s="15" t="n">
        <v>0</v>
      </c>
      <c r="E8" s="9" t="inlineStr">
        <is>
          <t>PETG</t>
        </is>
      </c>
      <c r="F8" s="15" t="inlineStr">
        <is>
          <t>Black</t>
        </is>
      </c>
      <c r="G8" s="45" t="n">
        <v>3.6</v>
      </c>
      <c r="H8" s="46">
        <f>C8*G8</f>
        <v/>
      </c>
      <c r="I8" s="46">
        <f>D8*G8</f>
        <v/>
      </c>
      <c r="J8" s="46">
        <f>H8*$C$3+I8</f>
        <v/>
      </c>
      <c r="K8" s="10" t="inlineStr">
        <is>
          <t>9.5 / 11.5 mm versions to taste. Sized for a 60 × 24 mm sensor board</t>
        </is>
      </c>
    </row>
    <row r="9">
      <c r="A9" s="10" t="inlineStr">
        <is>
          <t>Wheel</t>
        </is>
      </c>
      <c r="B9" s="10" t="inlineStr">
        <is>
          <t>RoboCore_V2_Wheel.3mf</t>
        </is>
      </c>
      <c r="C9" s="15" t="n">
        <v>2</v>
      </c>
      <c r="D9" s="15" t="n">
        <v>0</v>
      </c>
      <c r="E9" s="9" t="inlineStr">
        <is>
          <t>PETG</t>
        </is>
      </c>
      <c r="F9" s="15" t="inlineStr">
        <is>
          <t>Dark teal</t>
        </is>
      </c>
      <c r="G9" s="45" t="n">
        <v>7.9</v>
      </c>
      <c r="H9" s="46">
        <f>C9*G9</f>
        <v/>
      </c>
      <c r="I9" s="46">
        <f>D9*G9</f>
        <v/>
      </c>
      <c r="J9" s="46">
        <f>H9*$C$3+I9</f>
        <v/>
      </c>
      <c r="K9" s="10" t="inlineStr">
        <is>
          <t>30 % infill. Can be printed black to skip buying a teal spool</t>
        </is>
      </c>
    </row>
    <row r="10">
      <c r="A10" s="10" t="inlineStr">
        <is>
          <t>Tyre</t>
        </is>
      </c>
      <c r="B10" s="10" t="inlineStr">
        <is>
          <t>RoboCore_V2_Tyre_TPU.3mf</t>
        </is>
      </c>
      <c r="C10" s="15" t="n">
        <v>2</v>
      </c>
      <c r="D10" s="15" t="n">
        <v>0</v>
      </c>
      <c r="E10" s="9" t="inlineStr">
        <is>
          <t>TPU 95A</t>
        </is>
      </c>
      <c r="F10" s="15" t="inlineStr">
        <is>
          <t>Black</t>
        </is>
      </c>
      <c r="G10" s="45" t="n">
        <v>4.6</v>
      </c>
      <c r="H10" s="46">
        <f>C10*G10</f>
        <v/>
      </c>
      <c r="I10" s="46">
        <f>D10*G10</f>
        <v/>
      </c>
      <c r="J10" s="46">
        <f>H10*$C$3+I10</f>
        <v/>
      </c>
      <c r="K10" s="10" t="inlineStr">
        <is>
          <t>Print slowly (25 mm/s or less)</t>
        </is>
      </c>
    </row>
    <row r="11">
      <c r="A11" s="10" t="inlineStr">
        <is>
          <t>Sonar bracket (pod)</t>
        </is>
      </c>
      <c r="B11" s="10" t="inlineStr">
        <is>
          <t>RoboCore_V2_Sonar_bracket.3mf</t>
        </is>
      </c>
      <c r="C11" s="15" t="n">
        <v>1</v>
      </c>
      <c r="D11" s="15" t="n">
        <v>0</v>
      </c>
      <c r="E11" s="9" t="inlineStr">
        <is>
          <t>PETG</t>
        </is>
      </c>
      <c r="F11" s="15" t="inlineStr">
        <is>
          <t>Yellow</t>
        </is>
      </c>
      <c r="G11" s="45" t="n">
        <v>9</v>
      </c>
      <c r="H11" s="46">
        <f>C11*G11</f>
        <v/>
      </c>
      <c r="I11" s="46">
        <f>D11*G11</f>
        <v/>
      </c>
      <c r="J11" s="46">
        <f>H11*$C$3+I11</f>
        <v/>
      </c>
      <c r="K11" s="10" t="inlineStr">
        <is>
          <t>Plate top face down, pod up</t>
        </is>
      </c>
    </row>
    <row r="12">
      <c r="A12" s="10" t="inlineStr">
        <is>
          <t>Arm base</t>
        </is>
      </c>
      <c r="B12" s="10" t="inlineStr">
        <is>
          <t>RoboCore_V2_Arm_base.3mf</t>
        </is>
      </c>
      <c r="C12" s="15" t="n">
        <v>1</v>
      </c>
      <c r="D12" s="15" t="n">
        <v>0</v>
      </c>
      <c r="E12" s="9" t="inlineStr">
        <is>
          <t>PETG</t>
        </is>
      </c>
      <c r="F12" s="15" t="inlineStr">
        <is>
          <t>Yellow</t>
        </is>
      </c>
      <c r="G12" s="45" t="n">
        <v>7.9</v>
      </c>
      <c r="H12" s="46">
        <f>C12*G12</f>
        <v/>
      </c>
      <c r="I12" s="46">
        <f>D12*G12</f>
        <v/>
      </c>
      <c r="J12" s="46">
        <f>H12*$C$3+I12</f>
        <v/>
      </c>
      <c r="K12" s="10" t="inlineStr">
        <is>
          <t>Arm module</t>
        </is>
      </c>
    </row>
    <row r="13">
      <c r="A13" s="10" t="inlineStr">
        <is>
          <t>Arm</t>
        </is>
      </c>
      <c r="B13" s="10" t="inlineStr">
        <is>
          <t>RoboCore_V2_Arm.3mf</t>
        </is>
      </c>
      <c r="C13" s="15" t="n">
        <v>1</v>
      </c>
      <c r="D13" s="15" t="n">
        <v>0</v>
      </c>
      <c r="E13" s="9" t="inlineStr">
        <is>
          <t>PETG</t>
        </is>
      </c>
      <c r="F13" s="15" t="inlineStr">
        <is>
          <t>Yellow</t>
        </is>
      </c>
      <c r="G13" s="45" t="n">
        <v>11.1</v>
      </c>
      <c r="H13" s="46">
        <f>C13*G13</f>
        <v/>
      </c>
      <c r="I13" s="46">
        <f>D13*G13</f>
        <v/>
      </c>
      <c r="J13" s="46">
        <f>H13*$C$3+I13</f>
        <v/>
      </c>
      <c r="K13" s="10" t="inlineStr">
        <is>
          <t>Arm module, 30 % infill</t>
        </is>
      </c>
    </row>
    <row r="14">
      <c r="A14" s="10" t="inlineStr">
        <is>
          <t>Jaw L (driven)</t>
        </is>
      </c>
      <c r="B14" s="10" t="inlineStr">
        <is>
          <t>RoboCore_V2_Jaw_L_driven.3mf</t>
        </is>
      </c>
      <c r="C14" s="15" t="n">
        <v>1</v>
      </c>
      <c r="D14" s="15" t="n">
        <v>0</v>
      </c>
      <c r="E14" s="9" t="inlineStr">
        <is>
          <t>PETG</t>
        </is>
      </c>
      <c r="F14" s="15" t="inlineStr">
        <is>
          <t>Black</t>
        </is>
      </c>
      <c r="G14" s="45" t="n">
        <v>1.1</v>
      </c>
      <c r="H14" s="46">
        <f>C14*G14</f>
        <v/>
      </c>
      <c r="I14" s="46">
        <f>D14*G14</f>
        <v/>
      </c>
      <c r="J14" s="46">
        <f>H14*$C$3+I14</f>
        <v/>
      </c>
      <c r="K14" s="10" t="inlineStr">
        <is>
          <t>40 % infill</t>
        </is>
      </c>
    </row>
    <row r="15">
      <c r="A15" s="10" t="inlineStr">
        <is>
          <t>Jaw R (idle)</t>
        </is>
      </c>
      <c r="B15" s="10" t="inlineStr">
        <is>
          <t>RoboCore_V2_Jaw_R_idle.3mf</t>
        </is>
      </c>
      <c r="C15" s="15" t="n">
        <v>1</v>
      </c>
      <c r="D15" s="15" t="n">
        <v>0</v>
      </c>
      <c r="E15" s="9" t="inlineStr">
        <is>
          <t>PETG</t>
        </is>
      </c>
      <c r="F15" s="15" t="inlineStr">
        <is>
          <t>Black</t>
        </is>
      </c>
      <c r="G15" s="45" t="n">
        <v>1.3</v>
      </c>
      <c r="H15" s="46">
        <f>C15*G15</f>
        <v/>
      </c>
      <c r="I15" s="46">
        <f>D15*G15</f>
        <v/>
      </c>
      <c r="J15" s="46">
        <f>H15*$C$3+I15</f>
        <v/>
      </c>
      <c r="K15" s="10" t="inlineStr">
        <is>
          <t>40 % infill</t>
        </is>
      </c>
    </row>
    <row r="16">
      <c r="A16" s="10" t="inlineStr">
        <is>
          <t>Ballast clip</t>
        </is>
      </c>
      <c r="B16" s="10" t="inlineStr">
        <is>
          <t>RoboCore_V2_Ballast_clip.3mf</t>
        </is>
      </c>
      <c r="C16" s="15" t="n">
        <v>2</v>
      </c>
      <c r="D16" s="15" t="n">
        <v>0</v>
      </c>
      <c r="E16" s="9" t="inlineStr">
        <is>
          <t>PETG</t>
        </is>
      </c>
      <c r="F16" s="15" t="inlineStr">
        <is>
          <t>Black</t>
        </is>
      </c>
      <c r="G16" s="45" t="n">
        <v>3.8</v>
      </c>
      <c r="H16" s="46">
        <f>C16*G16</f>
        <v/>
      </c>
      <c r="I16" s="46">
        <f>D16*G16</f>
        <v/>
      </c>
      <c r="J16" s="46">
        <f>H16*$C$3+I16</f>
        <v/>
      </c>
      <c r="K16" s="10" t="inlineStr">
        <is>
          <t>Needed with the arm (3 × M8 nuts each)</t>
        </is>
      </c>
    </row>
    <row r="17">
      <c r="A17" s="10" t="inlineStr">
        <is>
          <t>Bus clip</t>
        </is>
      </c>
      <c r="B17" s="10" t="inlineStr">
        <is>
          <t>RoboCore_V2_Bus_clip.3mf</t>
        </is>
      </c>
      <c r="C17" s="15" t="n">
        <v>1</v>
      </c>
      <c r="D17" s="15" t="n">
        <v>1</v>
      </c>
      <c r="E17" s="9" t="inlineStr">
        <is>
          <t>PETG</t>
        </is>
      </c>
      <c r="F17" s="15" t="inlineStr">
        <is>
          <t>Black</t>
        </is>
      </c>
      <c r="G17" s="45" t="n">
        <v>1.7</v>
      </c>
      <c r="H17" s="46">
        <f>C17*G17</f>
        <v/>
      </c>
      <c r="I17" s="46">
        <f>D17*G17</f>
        <v/>
      </c>
      <c r="J17" s="46">
        <f>H17*$C$3+I17</f>
        <v/>
      </c>
      <c r="K17" s="10" t="inlineStr">
        <is>
          <t>Accessory clip; one extra printed first to test tolerances</t>
        </is>
      </c>
    </row>
    <row r="18">
      <c r="A18" s="10" t="inlineStr">
        <is>
          <t>Rail coupon (test piece)</t>
        </is>
      </c>
      <c r="B18" s="10" t="inlineStr">
        <is>
          <t>RoboCore_V2_Rail_coupon.3mf</t>
        </is>
      </c>
      <c r="C18" s="15" t="n">
        <v>0</v>
      </c>
      <c r="D18" s="15" t="n">
        <v>1</v>
      </c>
      <c r="E18" s="9" t="inlineStr">
        <is>
          <t>PETG</t>
        </is>
      </c>
      <c r="F18" s="15" t="inlineStr">
        <is>
          <t>Black</t>
        </is>
      </c>
      <c r="G18" s="45" t="n">
        <v>3.3</v>
      </c>
      <c r="H18" s="46">
        <f>C18*G18</f>
        <v/>
      </c>
      <c r="I18" s="46">
        <f>D18*G18</f>
        <v/>
      </c>
      <c r="J18" s="46">
        <f>H18*$C$3+I18</f>
        <v/>
      </c>
      <c r="K18" s="10" t="inlineStr">
        <is>
          <t>Print once, first, to check your printer's tolerances</t>
        </is>
      </c>
    </row>
    <row r="19"/>
    <row r="20">
      <c r="A20" s="3" t="inlineStr">
        <is>
          <t>Total per robot (g)</t>
        </is>
      </c>
      <c r="H20" s="47">
        <f>SUM(H7:H18)</f>
        <v/>
      </c>
      <c r="I20" s="47">
        <f>SUM(I7:I18)</f>
        <v/>
      </c>
      <c r="J20" s="47">
        <f>SUM(J7:J18)</f>
        <v/>
      </c>
    </row>
    <row r="21"/>
    <row r="22">
      <c r="A22" s="18" t="inlineStr">
        <is>
          <t>Filament to buy (includes the waste allowance)</t>
        </is>
      </c>
    </row>
    <row r="23">
      <c r="A23" s="29" t="inlineStr">
        <is>
          <t>Material</t>
        </is>
      </c>
      <c r="B23" s="29" t="inlineStr">
        <is>
          <t>Colour</t>
        </is>
      </c>
      <c r="C23" s="29" t="inlineStr">
        <is>
          <t>Per robot (g)</t>
        </is>
      </c>
      <c r="D23" s="29" t="inlineStr">
        <is>
          <t>One-off (g)</t>
        </is>
      </c>
      <c r="E23" s="29" t="inlineStr">
        <is>
          <t>All robots (g)</t>
        </is>
      </c>
    </row>
    <row r="24">
      <c r="A24" s="30" t="inlineStr">
        <is>
          <t>PETG</t>
        </is>
      </c>
      <c r="B24" s="30" t="inlineStr">
        <is>
          <t>Yellow</t>
        </is>
      </c>
      <c r="C24" s="31">
        <f>SUMIFS($H$7:$H$18,$E$7:$E$18,A24,$F$7:$F$18,B24)*(1+$C$4)</f>
        <v/>
      </c>
      <c r="D24" s="31">
        <f>SUMIFS($I$7:$I$18,$E$7:$E$18,A24,$F$7:$F$18,B24)*(1+$C$4)</f>
        <v/>
      </c>
      <c r="E24" s="31">
        <f>C24*$C$3+D24</f>
        <v/>
      </c>
    </row>
    <row r="25">
      <c r="A25" s="30" t="inlineStr">
        <is>
          <t>PETG</t>
        </is>
      </c>
      <c r="B25" s="30" t="inlineStr">
        <is>
          <t>Black</t>
        </is>
      </c>
      <c r="C25" s="31">
        <f>SUMIFS($H$7:$H$18,$E$7:$E$18,A25,$F$7:$F$18,B25)*(1+$C$4)</f>
        <v/>
      </c>
      <c r="D25" s="31">
        <f>SUMIFS($I$7:$I$18,$E$7:$E$18,A25,$F$7:$F$18,B25)*(1+$C$4)</f>
        <v/>
      </c>
      <c r="E25" s="31">
        <f>C25*$C$3+D25</f>
        <v/>
      </c>
    </row>
    <row r="26">
      <c r="A26" s="30" t="inlineStr">
        <is>
          <t>PETG</t>
        </is>
      </c>
      <c r="B26" s="30" t="inlineStr">
        <is>
          <t>Dark teal</t>
        </is>
      </c>
      <c r="C26" s="31">
        <f>SUMIFS($H$7:$H$18,$E$7:$E$18,A26,$F$7:$F$18,B26)*(1+$C$4)</f>
        <v/>
      </c>
      <c r="D26" s="31">
        <f>SUMIFS($I$7:$I$18,$E$7:$E$18,A26,$F$7:$F$18,B26)*(1+$C$4)</f>
        <v/>
      </c>
      <c r="E26" s="31">
        <f>C26*$C$3+D26</f>
        <v/>
      </c>
    </row>
    <row r="27">
      <c r="A27" s="30" t="inlineStr">
        <is>
          <t>TPU 95A</t>
        </is>
      </c>
      <c r="B27" s="30" t="inlineStr">
        <is>
          <t>Black</t>
        </is>
      </c>
      <c r="C27" s="31">
        <f>SUMIFS($H$7:$H$18,$E$7:$E$18,A27,$F$7:$F$18,B27)*(1+$C$4)</f>
        <v/>
      </c>
      <c r="D27" s="31">
        <f>SUMIFS($I$7:$I$18,$E$7:$E$18,A27,$F$7:$F$18,B27)*(1+$C$4)</f>
        <v/>
      </c>
      <c r="E27" s="31">
        <f>C27*$C$3+D27</f>
        <v/>
      </c>
    </row>
    <row r="28"/>
    <row r="29">
      <c r="A29" s="2" t="inlineStr">
        <is>
          <t>Print time: about 13 printer-hours per robot on an A1 mini (chassis 9–11 h). Estimate; slice to confirm.</t>
        </is>
      </c>
    </row>
    <row r="30">
      <c r="A30" s="2" t="inlineStr">
        <is>
          <t>Settings: 0.2 mm layers, 3 walls, 25 % gyroid (wheels and arm 30 %, jaws and clips 40 %), no supports, PETG 240–250 °C.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9"/>
  <sheetViews>
    <sheetView zoomScale="110"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RoboCore V2 component list: notes</t>
        </is>
      </c>
    </row>
    <row r="2"/>
    <row r="3"/>
    <row r="4">
      <c r="A4" s="18" t="inlineStr">
        <is>
          <t>How to use it</t>
        </is>
      </c>
    </row>
    <row r="5">
      <c r="A5" s="32" t="inlineStr">
        <is>
          <t>Change 'Robots to build' (Component list, D4) and every quantity and total updates. The filament grams follow the Printed parts sheet.</t>
        </is>
      </c>
    </row>
    <row r="6">
      <c r="A6" s="32" t="inlineStr">
        <is>
          <t>Blue text = inputs you can change (quantities, spares, pack sizes, estimated prices, origin, status).</t>
        </is>
      </c>
    </row>
    <row r="7">
      <c r="A7" s="32" t="inlineStr">
        <is>
          <t>Lines marked 'Have already' count as $0 in the estimate (e.g. a filament colour you already have).</t>
        </is>
      </c>
    </row>
    <row r="8">
      <c r="A8" s="32" t="inlineStr">
        <is>
          <t>Yellow cells = fill in the real price when you pay ('Actual paid', the total for that line). The summary adds them up.</t>
        </is>
      </c>
    </row>
    <row r="9">
      <c r="A9" s="32" t="inlineStr">
        <is>
          <t>Green text = linked from the Printed parts sheet. Black = formulas; don't type over them.</t>
        </is>
      </c>
    </row>
    <row r="10">
      <c r="A10" s="32" t="inlineStr">
        <is>
          <t>Status drop-down: To buy / Quoted / Ordered / Received / Have already. Use the filter arrows on the header row to see what is left.</t>
        </is>
      </c>
    </row>
    <row r="11"/>
    <row r="12">
      <c r="A12" s="18" t="inlineStr">
        <is>
          <t>Check before buying</t>
        </is>
      </c>
    </row>
    <row r="13">
      <c r="A13" s="32" t="inlineStr">
        <is>
          <t>1. Motors: the chassis is built around the SparkFun XRP motor (ROB-24053). Generic TT encoder motors have a different encoder cover, plug (PH2.0) and pin order.</t>
        </is>
      </c>
    </row>
    <row r="14">
      <c r="A14" s="32" t="inlineStr">
        <is>
          <t>2. Ultrasonic: J403 gives 3.3 V, so buy a 3.3 V-capable module (HC-SR04P or RCWL-1601), not the classic 5 V HC-SR04.</t>
        </is>
      </c>
    </row>
    <row r="15">
      <c r="A15" s="32" t="inlineStr">
        <is>
          <t>3. Line sensor: needs analog outputs, and the printed sled is sized for a 60 × 24 mm board. Buy one first and check it.</t>
        </is>
      </c>
    </row>
    <row r="16">
      <c r="A16" s="32" t="inlineStr">
        <is>
          <t>4. Battery: holder wired in parallel (1S3P), never in series. No protection board (Fred, 2026-10-12). The controller guards against a reversed pack, a 2S/3S pack and over-charging, but has no low-battery cut-off: switch robots off after use.</t>
        </is>
      </c>
    </row>
    <row r="17">
      <c r="A17" s="32" t="inlineStr">
        <is>
          <t>5. 18650 cells: buy locally or from South Africa, branded and matched. Don't ship loose lithium cells from China.</t>
        </is>
      </c>
    </row>
    <row r="18"/>
    <row r="19">
      <c r="A19" s="18" t="inlineStr">
        <is>
          <t>Not included</t>
        </is>
      </c>
    </row>
    <row r="20">
      <c r="A20" s="32" t="inlineStr">
        <is>
          <t>Labour (about 1.5 h per robot), printer time (about 13 h per robot), tools you already have, and any duty above the allowance in D5.</t>
        </is>
      </c>
    </row>
    <row r="21"/>
    <row r="22">
      <c r="A22" s="18" t="inlineStr">
        <is>
          <t>Sources</t>
        </is>
      </c>
    </row>
    <row r="23">
      <c r="A23" s="32" t="inlineStr">
        <is>
          <t>Robot BOM, hardware table and printed-part masses: mech/robot/README.md (rev 5).</t>
        </is>
      </c>
    </row>
    <row r="24">
      <c r="A24" s="32" t="inlineStr">
        <is>
          <t>PCBWay quote: fab/PCBWay_V2_2026-10-08/ORDER_NOTES.md and the cart (W836287AS1F11 / T-1F12W836287A, 2026-10-09).</t>
        </is>
      </c>
    </row>
    <row r="25">
      <c r="A25" s="32" t="inlineStr">
        <is>
          <t>Motor price and contents: https://www.sparkfun.com/hobby-motor-with-encoder-plastic-gear-pair-red.html (checked 2026-10-11: $28.50, 'Backorder' shown).</t>
        </is>
      </c>
    </row>
    <row r="26">
      <c r="A26" s="32" t="inlineStr">
        <is>
          <t>Other prices: estimates from tools/costing/cost_model.py (2026-10-07) and typical AliExpress prices. Replace them with real quotes.</t>
        </is>
      </c>
    </row>
    <row r="27">
      <c r="A27" s="32" t="inlineStr">
        <is>
          <t>Connector facts (J403 3.3 V, J404 analog, XT30 male on the board): docs/RoboCore_V2_spec.md.</t>
        </is>
      </c>
    </row>
    <row r="29">
      <c r="A29" t="inlineStr">
        <is>
          <t>2026-10-12: both arm servos are MG90S (one line). Removed at Fred's request: SG90, 1S protection board, heat-shrink, USB-C cable. Fasteners follow the rev 5 robot design; the notes column says where each one goes.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2026-10-11T11:49:35Z</dcterms:created>
  <dcterms:modified xmlns:dcterms="http://purl.org/dc/terms/" xmlns:xsi="http://www.w3.org/2001/XMLSchema-instance" xsi:type="dcterms:W3CDTF">2026-10-12T12:04:25Z</dcterms:modified>
</cp:coreProperties>
</file>